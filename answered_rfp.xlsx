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500" firstSheet="2" activeTab="3" autoFilterDateGrouping="1"/>
  </bookViews>
  <sheets>
    <sheet xmlns:r="http://schemas.openxmlformats.org/officeDocument/2006/relationships" name="00_表紙" sheetId="1" state="visible" r:id="rId1"/>
    <sheet xmlns:r="http://schemas.openxmlformats.org/officeDocument/2006/relationships" name="01_目次" sheetId="2" state="visible" r:id="rId2"/>
    <sheet xmlns:r="http://schemas.openxmlformats.org/officeDocument/2006/relationships" name="02_背景目的" sheetId="3" state="visible" r:id="rId3"/>
    <sheet xmlns:r="http://schemas.openxmlformats.org/officeDocument/2006/relationships" name="03_機能要件" sheetId="4" state="visible" r:id="rId4"/>
    <sheet xmlns:r="http://schemas.openxmlformats.org/officeDocument/2006/relationships" name="04_非機能要件" sheetId="5" state="visible" r:id="rId5"/>
    <sheet xmlns:r="http://schemas.openxmlformats.org/officeDocument/2006/relationships" name="05_連携要件" sheetId="6" state="visible" r:id="rId6"/>
    <sheet xmlns:r="http://schemas.openxmlformats.org/officeDocument/2006/relationships" name="06_運用要件" sheetId="7" state="visible" r:id="rId7"/>
    <sheet xmlns:r="http://schemas.openxmlformats.org/officeDocument/2006/relationships" name="07_セキュリティ" sheetId="8" state="visible" r:id="rId8"/>
    <sheet xmlns:r="http://schemas.openxmlformats.org/officeDocument/2006/relationships" name="08_評価基準" sheetId="9" state="visible" r:id="rId9"/>
    <sheet xmlns:r="http://schemas.openxmlformats.org/officeDocument/2006/relationships" name="09_提案依頼事項" sheetId="10" state="visible" r:id="rId10"/>
  </sheets>
  <definedNames/>
  <calcPr calcId="0" fullCalcOnLoad="1" iterate="1" iterateCount="1000" iterateDelta="0.01"/>
</workbook>
</file>

<file path=xl/styles.xml><?xml version="1.0" encoding="utf-8"?>
<styleSheet xmlns="http://schemas.openxmlformats.org/spreadsheetml/2006/main">
  <numFmts count="0"/>
  <fonts count="19">
    <font>
      <name val="Calibri"/>
      <color theme="1"/>
      <sz val="11"/>
      <scheme val="minor"/>
    </font>
    <font>
      <name val="Yu Gothic UI"/>
      <b val="1"/>
      <color rgb="FFFFFFFF"/>
      <sz val="24"/>
    </font>
    <font>
      <name val="Yu Gothic UI"/>
      <sz val="16"/>
    </font>
    <font>
      <name val="Yu Gothic UI"/>
      <i val="1"/>
      <sz val="12"/>
    </font>
    <font>
      <name val="Yu Gothic UI"/>
      <b val="1"/>
      <color rgb="FFFFFFFF"/>
      <sz val="12"/>
    </font>
    <font>
      <name val="Yu Gothic UI"/>
      <b val="1"/>
      <sz val="11"/>
    </font>
    <font>
      <name val="Yu Gothic UI"/>
      <sz val="11"/>
    </font>
    <font>
      <name val="Calibri"/>
      <scheme val="minor"/>
    </font>
    <font>
      <name val="Yu Gothic UI"/>
      <b val="1"/>
      <color rgb="FFFFFFFF"/>
      <sz val="16"/>
    </font>
    <font>
      <name val="Yu Gothic UI"/>
      <b val="1"/>
      <color rgb="FFFFFFFF"/>
      <sz val="11"/>
    </font>
    <font>
      <name val="Yu Gothic UI"/>
      <b val="1"/>
      <color rgb="FFFFFFFF"/>
      <sz val="14"/>
    </font>
    <font>
      <name val="Yu Gothic UI"/>
      <sz val="10"/>
    </font>
    <font>
      <name val="Yu Gothic UI"/>
      <b val="1"/>
      <sz val="10.5"/>
    </font>
    <font>
      <name val="Yu Gothic UI"/>
      <b val="1"/>
      <color rgb="FFFFFFFF"/>
      <sz val="10.5"/>
    </font>
    <font>
      <name val="Yu Gothic UI"/>
      <sz val="10.5"/>
    </font>
    <font>
      <name val="Meiryo UI"/>
      <b val="1"/>
      <color rgb="00FFFFFF"/>
      <sz val="9"/>
    </font>
    <font>
      <name val="Meiryo UI"/>
      <sz val="9"/>
    </font>
    <font>
      <name val="Meiryo UI"/>
      <b val="1"/>
      <sz val="11"/>
    </font>
    <font>
      <name val="Meiryo UI"/>
      <sz val="10"/>
    </font>
  </fonts>
  <fills count="18">
    <fill>
      <patternFill/>
    </fill>
    <fill>
      <patternFill patternType="gray125"/>
    </fill>
    <fill>
      <patternFill patternType="solid">
        <fgColor rgb="FF1F3A5F"/>
      </patternFill>
    </fill>
    <fill>
      <patternFill patternType="solid">
        <fgColor rgb="FFD6E4F0"/>
      </patternFill>
    </fill>
    <fill>
      <patternFill patternType="solid">
        <fgColor rgb="FF4A6FA5"/>
      </patternFill>
    </fill>
    <fill>
      <patternFill patternType="solid">
        <fgColor rgb="FFF4F6F8"/>
      </patternFill>
    </fill>
    <fill>
      <patternFill patternType="solid">
        <fgColor rgb="FFFFF8E1"/>
      </patternFill>
    </fill>
    <fill>
      <patternFill patternType="solid">
        <fgColor rgb="FFC8102E"/>
      </patternFill>
    </fill>
    <fill>
      <patternFill patternType="solid">
        <fgColor rgb="FFD4EDDA"/>
      </patternFill>
    </fill>
    <fill>
      <patternFill patternType="solid">
        <fgColor rgb="FFF0A500"/>
      </patternFill>
    </fill>
    <fill>
      <patternFill patternType="solid">
        <fgColor rgb="FFFFF3CD"/>
      </patternFill>
    </fill>
    <fill>
      <patternFill patternType="solid">
        <fgColor rgb="FFF8D7DA"/>
      </patternFill>
    </fill>
    <fill>
      <patternFill patternType="solid">
        <fgColor rgb="FF7E9CB5"/>
      </patternFill>
    </fill>
    <fill>
      <patternFill patternType="solid">
        <fgColor rgb="FFEAF1F8"/>
      </patternFill>
    </fill>
    <fill>
      <patternFill patternType="solid">
        <fgColor rgb="001A3C5E"/>
        <bgColor rgb="001A3C5E"/>
      </patternFill>
    </fill>
    <fill>
      <patternFill patternType="solid">
        <fgColor rgb="00C8E6C9"/>
        <bgColor rgb="00C8E6C9"/>
      </patternFill>
    </fill>
    <fill>
      <patternFill patternType="solid">
        <fgColor rgb="00FFF9C4"/>
        <bgColor rgb="00FFF9C4"/>
      </patternFill>
    </fill>
    <fill>
      <patternFill patternType="solid">
        <fgColor rgb="00FFE0B2"/>
        <bgColor rgb="00FFE0B2"/>
      </patternFill>
    </fill>
  </fills>
  <borders count="26">
    <border>
      <left/>
      <right/>
      <top/>
      <bottom/>
    </border>
    <border>
      <left>
        <color rgb="FF000000"/>
      </left>
      <right>
        <color rgb="FF000000"/>
      </right>
      <top>
        <color rgb="FF000000"/>
      </top>
      <bottom>
        <color rgb="FF000000"/>
      </bottom>
    </border>
    <border>
      <left style="thin">
        <color rgb="FFBFBFBF"/>
      </left>
      <right style="thin">
        <color rgb="FFBFBFBF"/>
      </right>
      <top style="thin">
        <color rgb="FFBFBFBF"/>
      </top>
      <bottom style="thin">
        <color rgb="FFBFBFBF"/>
      </bottom>
    </border>
    <border>
      <left style="thin">
        <color rgb="FFB0B0B0"/>
      </left>
      <right style="thin">
        <color rgb="FFB0B0B0"/>
      </right>
      <top style="thin">
        <color rgb="FFB0B0B0"/>
      </top>
      <bottom style="thin">
        <color rgb="FFB0B0B0"/>
      </bottom>
    </border>
    <border>
      <left style="thin">
        <color rgb="FFB0B7C3"/>
      </left>
      <right style="thin">
        <color rgb="FFB0B7C3"/>
      </right>
      <top style="thin">
        <color rgb="FFB0B7C3"/>
      </top>
      <bottom style="thin">
        <color rgb="FFB0B7C3"/>
      </bottom>
    </border>
    <border>
      <left style="thin">
        <color rgb="FFB0B7C3"/>
      </left>
      <right style="thin">
        <color rgb="FFB0B7C3"/>
      </right>
      <top style="medium">
        <color rgb="FF1F3A5F"/>
      </top>
      <bottom style="medium">
        <color rgb="FF1F3A5F"/>
      </bottom>
    </border>
    <border>
      <left/>
      <right/>
      <top style="thin">
        <color rgb="FFBFBFBF"/>
      </top>
      <bottom/>
    </border>
    <border>
      <left/>
      <right style="thin">
        <color rgb="FFBFBFBF"/>
      </right>
      <top style="thin">
        <color rgb="FFBFBFBF"/>
      </top>
      <bottom/>
    </border>
    <border>
      <left/>
      <right style="thin">
        <color rgb="FFBFBFBF"/>
      </right>
      <top style="thin">
        <color rgb="FFBFBFBF"/>
      </top>
      <bottom style="thin">
        <color rgb="FFBFBFBF"/>
      </bottom>
    </border>
    <border>
      <left style="thin">
        <color rgb="FFBFBFBF"/>
      </left>
      <right/>
      <top/>
      <bottom/>
    </border>
    <border>
      <left/>
      <right style="thin">
        <color rgb="FFBFBFBF"/>
      </right>
      <top/>
      <bottom/>
    </border>
    <border>
      <left style="thin">
        <color rgb="FFBFBFBF"/>
      </left>
      <right/>
      <top/>
      <bottom style="thin">
        <color rgb="FFBFBFBF"/>
      </bottom>
    </border>
    <border>
      <left/>
      <right/>
      <top/>
      <bottom style="thin">
        <color rgb="FFBFBFBF"/>
      </bottom>
    </border>
    <border>
      <left/>
      <right style="thin">
        <color rgb="FFBFBFBF"/>
      </right>
      <top/>
      <bottom style="thin">
        <color rgb="FFBFBFBF"/>
      </bottom>
    </border>
    <border>
      <left/>
      <right/>
      <top style="thin">
        <color rgb="FFB0B0B0"/>
      </top>
      <bottom/>
    </border>
    <border>
      <left/>
      <right style="thin">
        <color rgb="FFB0B0B0"/>
      </right>
      <top style="thin">
        <color rgb="FFB0B0B0"/>
      </top>
      <bottom/>
    </border>
    <border>
      <left/>
      <right/>
      <top style="thin">
        <color rgb="FFB0B0B0"/>
      </top>
      <bottom style="thin">
        <color rgb="FFB0B0B0"/>
      </bottom>
    </border>
    <border>
      <left/>
      <right style="thin">
        <color rgb="FFB0B0B0"/>
      </right>
      <top style="thin">
        <color rgb="FFB0B0B0"/>
      </top>
      <bottom style="thin">
        <color rgb="FFB0B0B0"/>
      </bottom>
    </border>
    <border>
      <left/>
      <right/>
      <top style="thin">
        <color rgb="FFB0B7C3"/>
      </top>
      <bottom/>
    </border>
    <border>
      <left/>
      <right style="thin">
        <color rgb="FFB0B7C3"/>
      </right>
      <top style="thin">
        <color rgb="FFB0B7C3"/>
      </top>
      <bottom/>
    </border>
    <border>
      <left/>
      <right/>
      <top style="thin">
        <color rgb="FFB0B7C3"/>
      </top>
      <bottom style="thin">
        <color rgb="FFB0B7C3"/>
      </bottom>
    </border>
    <border>
      <left/>
      <right style="thin">
        <color rgb="FFB0B7C3"/>
      </right>
      <top style="thin">
        <color rgb="FFB0B7C3"/>
      </top>
      <bottom style="thin">
        <color rgb="FFB0B7C3"/>
      </bottom>
    </border>
    <border>
      <left/>
      <right/>
      <top style="medium">
        <color rgb="FF1F3A5F"/>
      </top>
      <bottom/>
    </border>
    <border>
      <left/>
      <right style="thin">
        <color rgb="FFB0B7C3"/>
      </right>
      <top style="medium">
        <color rgb="FF1F3A5F"/>
      </top>
      <bottom/>
    </border>
    <border>
      <left/>
      <right/>
      <top style="medium">
        <color rgb="FF1F3A5F"/>
      </top>
      <bottom style="medium">
        <color rgb="FF1F3A5F"/>
      </bottom>
    </border>
    <border>
      <left/>
      <right style="thin">
        <color rgb="FFB0B7C3"/>
      </right>
      <top style="medium">
        <color rgb="FF1F3A5F"/>
      </top>
      <bottom style="medium">
        <color rgb="FF1F3A5F"/>
      </bottom>
    </border>
  </borders>
  <cellStyleXfs count="1">
    <xf numFmtId="0" fontId="0" fillId="0" borderId="1" applyAlignment="1">
      <alignment horizontal="general" vertical="top"/>
    </xf>
  </cellStyleXfs>
  <cellXfs count="68">
    <xf numFmtId="0" fontId="0" fillId="0" borderId="1" applyAlignment="1" pivotButton="0" quotePrefix="0" xfId="0">
      <alignment vertical="top"/>
    </xf>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applyAlignment="1" pivotButton="0" quotePrefix="0" xfId="0">
      <alignment horizontal="center" vertical="center"/>
    </xf>
    <xf numFmtId="0" fontId="4" fillId="4" borderId="0" applyAlignment="1" pivotButton="0" quotePrefix="0" xfId="0">
      <alignment horizontal="left" vertical="center"/>
    </xf>
    <xf numFmtId="0" fontId="5" fillId="5" borderId="2" applyAlignment="1" pivotButton="0" quotePrefix="0" xfId="0">
      <alignment vertical="center"/>
    </xf>
    <xf numFmtId="0" fontId="6" fillId="0" borderId="2" applyAlignment="1" pivotButton="0" quotePrefix="0" xfId="0">
      <alignment vertical="center"/>
    </xf>
    <xf numFmtId="0" fontId="7" fillId="0" borderId="2" applyAlignment="1" pivotButton="0" quotePrefix="0" xfId="0">
      <alignment vertical="top"/>
    </xf>
    <xf numFmtId="0" fontId="6" fillId="6" borderId="2" applyAlignment="1" pivotButton="0" quotePrefix="0" xfId="0">
      <alignment vertical="top"/>
    </xf>
    <xf numFmtId="0" fontId="8" fillId="2" borderId="0" applyAlignment="1" pivotButton="0" quotePrefix="0" xfId="0">
      <alignment horizontal="center" vertical="center"/>
    </xf>
    <xf numFmtId="0" fontId="9" fillId="2" borderId="2" applyAlignment="1" pivotButton="0" quotePrefix="0" xfId="0">
      <alignment horizontal="center" vertical="center"/>
    </xf>
    <xf numFmtId="0" fontId="6" fillId="3" borderId="2" applyAlignment="1" pivotButton="0" quotePrefix="0" xfId="0">
      <alignment horizontal="center" vertical="center"/>
    </xf>
    <xf numFmtId="0" fontId="6" fillId="0" borderId="2" applyAlignment="1" pivotButton="0" quotePrefix="0" xfId="0">
      <alignment horizontal="left" vertical="center"/>
    </xf>
    <xf numFmtId="0" fontId="6" fillId="0" borderId="2" applyAlignment="1" pivotButton="0" quotePrefix="0" xfId="0">
      <alignment horizontal="center" vertical="center"/>
    </xf>
    <xf numFmtId="0" fontId="5" fillId="3" borderId="2" applyAlignment="1" pivotButton="0" quotePrefix="0" xfId="0">
      <alignment horizontal="center" vertical="center"/>
    </xf>
    <xf numFmtId="0" fontId="6" fillId="0" borderId="2" applyAlignment="1" pivotButton="0" quotePrefix="0" xfId="0">
      <alignment vertical="top"/>
    </xf>
    <xf numFmtId="0" fontId="5" fillId="5" borderId="2" applyAlignment="1" pivotButton="0" quotePrefix="0" xfId="0">
      <alignment horizontal="center" vertical="top"/>
    </xf>
    <xf numFmtId="0" fontId="10" fillId="2" borderId="0" applyAlignment="1" pivotButton="0" quotePrefix="0" xfId="0">
      <alignment horizontal="center" vertical="center"/>
    </xf>
    <xf numFmtId="0" fontId="11" fillId="6" borderId="3" applyAlignment="1" pivotButton="0" quotePrefix="0" xfId="0">
      <alignment horizontal="left" vertical="center" indent="1"/>
    </xf>
    <xf numFmtId="0" fontId="12" fillId="3" borderId="3" applyAlignment="1" pivotButton="0" quotePrefix="0" xfId="0">
      <alignment horizontal="center" vertical="center"/>
    </xf>
    <xf numFmtId="0" fontId="13" fillId="4" borderId="0" applyAlignment="1" pivotButton="0" quotePrefix="0" xfId="0">
      <alignment horizontal="left" vertical="center" indent="1"/>
    </xf>
    <xf numFmtId="0" fontId="12" fillId="5" borderId="3" applyAlignment="1" pivotButton="0" quotePrefix="0" xfId="0">
      <alignment horizontal="center" vertical="top"/>
    </xf>
    <xf numFmtId="0" fontId="14" fillId="0" borderId="3" applyAlignment="1" pivotButton="0" quotePrefix="0" xfId="0">
      <alignment horizontal="left" vertical="top" indent="1"/>
    </xf>
    <xf numFmtId="0" fontId="13" fillId="7" borderId="3" applyAlignment="1" pivotButton="0" quotePrefix="0" xfId="0">
      <alignment horizontal="center" vertical="center"/>
    </xf>
    <xf numFmtId="0" fontId="14" fillId="8" borderId="3" applyAlignment="1" pivotButton="0" quotePrefix="0" xfId="0">
      <alignment horizontal="center" vertical="center"/>
    </xf>
    <xf numFmtId="0" fontId="13" fillId="9" borderId="3" applyAlignment="1" pivotButton="0" quotePrefix="0" xfId="0">
      <alignment horizontal="center" vertical="center"/>
    </xf>
    <xf numFmtId="0" fontId="14" fillId="10" borderId="3" applyAlignment="1" pivotButton="0" quotePrefix="0" xfId="0">
      <alignment horizontal="center" vertical="center"/>
    </xf>
    <xf numFmtId="0" fontId="14" fillId="11" borderId="3" applyAlignment="1" pivotButton="0" quotePrefix="0" xfId="0">
      <alignment horizontal="center" vertical="center"/>
    </xf>
    <xf numFmtId="0" fontId="13" fillId="12" borderId="3" applyAlignment="1" pivotButton="0" quotePrefix="0" xfId="0">
      <alignment horizontal="center" vertical="center"/>
    </xf>
    <xf numFmtId="0" fontId="11" fillId="6" borderId="4" applyAlignment="1" pivotButton="0" quotePrefix="0" xfId="0">
      <alignment vertical="top"/>
    </xf>
    <xf numFmtId="0" fontId="13" fillId="2" borderId="4" applyAlignment="1" pivotButton="0" quotePrefix="0" xfId="0">
      <alignment horizontal="center" vertical="center"/>
    </xf>
    <xf numFmtId="0" fontId="12" fillId="5" borderId="4" applyAlignment="1" pivotButton="0" quotePrefix="0" xfId="0">
      <alignment horizontal="center" vertical="top"/>
    </xf>
    <xf numFmtId="0" fontId="12" fillId="0" borderId="4" applyAlignment="1" pivotButton="0" quotePrefix="0" xfId="0">
      <alignment horizontal="left" vertical="top"/>
    </xf>
    <xf numFmtId="0" fontId="14" fillId="0" borderId="4" applyAlignment="1" pivotButton="0" quotePrefix="0" xfId="0">
      <alignment horizontal="left" vertical="top"/>
    </xf>
    <xf numFmtId="0" fontId="12" fillId="0" borderId="4" applyAlignment="1" pivotButton="0" quotePrefix="0" xfId="0">
      <alignment horizontal="center" vertical="center"/>
    </xf>
    <xf numFmtId="10" fontId="12" fillId="13" borderId="4" applyAlignment="1" pivotButton="0" quotePrefix="0" xfId="0">
      <alignment horizontal="center" vertical="center"/>
    </xf>
    <xf numFmtId="0" fontId="12" fillId="3" borderId="5" applyAlignment="1" pivotButton="0" quotePrefix="0" xfId="0">
      <alignment horizontal="center" vertical="center"/>
    </xf>
    <xf numFmtId="10" fontId="12" fillId="3" borderId="5" applyAlignment="1" pivotButton="0" quotePrefix="0" xfId="0">
      <alignment horizontal="center" vertical="center"/>
    </xf>
    <xf numFmtId="0" fontId="13" fillId="4" borderId="0" applyAlignment="1" pivotButton="0" quotePrefix="0" xfId="0">
      <alignment horizontal="center" vertical="center"/>
    </xf>
    <xf numFmtId="0" fontId="12" fillId="3" borderId="4" applyAlignment="1" pivotButton="0" quotePrefix="0" xfId="0">
      <alignment horizontal="center" vertical="center"/>
    </xf>
    <xf numFmtId="0" fontId="12" fillId="3" borderId="4" applyAlignment="1" pivotButton="0" quotePrefix="0" xfId="0">
      <alignment horizontal="left" vertical="center"/>
    </xf>
    <xf numFmtId="0" fontId="7" fillId="3" borderId="4" applyAlignment="1" pivotButton="0" quotePrefix="0" xfId="0">
      <alignment vertical="top"/>
    </xf>
    <xf numFmtId="0" fontId="12" fillId="5" borderId="4" applyAlignment="1" pivotButton="0" quotePrefix="0" xfId="0">
      <alignment horizontal="center" vertical="center"/>
    </xf>
    <xf numFmtId="0" fontId="14" fillId="0" borderId="4" applyAlignment="1" pivotButton="0" quotePrefix="0" xfId="0">
      <alignment horizontal="left" vertical="center"/>
    </xf>
    <xf numFmtId="0" fontId="7" fillId="0" borderId="4" applyAlignment="1" pivotButton="0" quotePrefix="0" xfId="0">
      <alignment vertical="top"/>
    </xf>
    <xf numFmtId="0" fontId="13" fillId="4" borderId="0" applyAlignment="1" pivotButton="0" quotePrefix="0" xfId="0">
      <alignment horizontal="left" vertical="center"/>
    </xf>
    <xf numFmtId="0" fontId="14" fillId="6" borderId="4" applyAlignment="1" pivotButton="0" quotePrefix="0" xfId="0">
      <alignment horizontal="left" vertical="top"/>
    </xf>
    <xf numFmtId="0" fontId="0" fillId="0" borderId="0" pivotButton="0" quotePrefix="0" xfId="0"/>
    <xf numFmtId="0" fontId="0" fillId="0" borderId="8" pivotButton="0" quotePrefix="0" xfId="0"/>
    <xf numFmtId="0" fontId="0" fillId="0" borderId="6" pivotButton="0" quotePrefix="0" xfId="0"/>
    <xf numFmtId="0" fontId="0" fillId="0" borderId="7"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17" fillId="0" borderId="0" pivotButton="0" quotePrefix="0" xfId="0"/>
    <xf numFmtId="0" fontId="18" fillId="0" borderId="0" pivotButton="0" quotePrefix="0" xfId="0"/>
    <xf numFmtId="0" fontId="0" fillId="0" borderId="16" pivotButton="0" quotePrefix="0" xfId="0"/>
    <xf numFmtId="0" fontId="0" fillId="0" borderId="17" pivotButton="0" quotePrefix="0" xfId="0"/>
    <xf numFmtId="0" fontId="15" fillId="14" borderId="0" applyAlignment="1" pivotButton="0" quotePrefix="0" xfId="0">
      <alignment horizontal="center" vertical="center" wrapText="1"/>
    </xf>
    <xf numFmtId="0" fontId="16" fillId="15" borderId="0" applyAlignment="1" pivotButton="0" quotePrefix="0" xfId="0">
      <alignment vertical="top" wrapText="1"/>
    </xf>
    <xf numFmtId="0" fontId="16" fillId="16" borderId="0" applyAlignment="1" pivotButton="0" quotePrefix="0" xfId="0">
      <alignment vertical="top" wrapText="1"/>
    </xf>
    <xf numFmtId="0" fontId="16" fillId="17" borderId="0" applyAlignment="1" pivotButton="0" quotePrefix="0" xfId="0">
      <alignment vertical="top" wrapText="1"/>
    </xf>
    <xf numFmtId="0" fontId="0" fillId="0" borderId="20" pivotButton="0" quotePrefix="0" xfId="0"/>
    <xf numFmtId="0" fontId="0" fillId="0" borderId="21" pivotButton="0" quotePrefix="0" xfId="0"/>
    <xf numFmtId="0" fontId="0" fillId="0" borderId="24" pivotButton="0" quotePrefix="0" xfId="0"/>
    <xf numFmtId="0" fontId="0" fillId="0" borderId="2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36"/>
  <sheetViews>
    <sheetView topLeftCell="A1" workbookViewId="0">
      <selection activeCell="A1" sqref="A1"/>
    </sheetView>
  </sheetViews>
  <sheetFormatPr baseColWidth="8" defaultColWidth="8.8515625" defaultRowHeight="15" customHeight="1"/>
  <cols>
    <col width="2.8515625" customWidth="1" style="47" min="1" max="1"/>
    <col width="28.57421875" customWidth="1" style="47" min="2" max="2"/>
    <col width="68.57421875" customWidth="1" style="47" min="3" max="3"/>
    <col width="28.57421875" customWidth="1" style="47" min="4" max="4"/>
    <col width="2.8515625" customWidth="1" style="47" min="5" max="5"/>
  </cols>
  <sheetData>
    <row r="2" ht="45" customHeight="1" s="47">
      <c r="B2" s="1" t="inlineStr">
        <is>
          <t>提案依頼書（RFP）</t>
        </is>
      </c>
    </row>
    <row r="3" ht="30" customHeight="1" s="47">
      <c r="B3" s="2" t="inlineStr">
        <is>
          <t>社内コミュニケーション基盤刷新プロジェクト</t>
        </is>
      </c>
    </row>
    <row r="4" ht="22.5" customHeight="1" s="47">
      <c r="B4" s="3" t="inlineStr">
        <is>
          <t>Request for Proposal for Enterprise Internal Communications Platform</t>
        </is>
      </c>
    </row>
    <row r="7" ht="18" customHeight="1" s="47">
      <c r="B7" s="4" t="inlineStr">
        <is>
          <t>文書管理情報</t>
        </is>
      </c>
    </row>
    <row r="8" ht="16.5" customHeight="1" s="47">
      <c r="B8" s="5" t="inlineStr">
        <is>
          <t>文書番号</t>
        </is>
      </c>
      <c r="C8" s="6" t="inlineStr">
        <is>
          <t>RFP-2026-ICP-001</t>
        </is>
      </c>
      <c r="D8" s="48" t="n"/>
    </row>
    <row r="9" ht="16.5" customHeight="1" s="47">
      <c r="B9" s="5" t="inlineStr">
        <is>
          <t>発行日</t>
        </is>
      </c>
      <c r="C9" s="6" t="inlineStr">
        <is>
          <t>2026年4月27日</t>
        </is>
      </c>
      <c r="D9" s="48" t="n"/>
    </row>
    <row r="10" ht="16.5" customHeight="1" s="47">
      <c r="B10" s="5" t="inlineStr">
        <is>
          <t>発行元</t>
        </is>
      </c>
      <c r="C10" s="6" t="inlineStr">
        <is>
          <t>日本グローバル製造株式会社 情報システム本部</t>
        </is>
      </c>
      <c r="D10" s="48" t="n"/>
    </row>
    <row r="11" ht="16.5" customHeight="1" s="47">
      <c r="B11" s="5" t="inlineStr">
        <is>
          <t>プロジェクト名</t>
        </is>
      </c>
      <c r="C11" s="6" t="inlineStr">
        <is>
          <t>Internal Communications Platform 刷新プロジェクト（ICP-2026）</t>
        </is>
      </c>
      <c r="D11" s="48" t="n"/>
    </row>
    <row r="12" ht="16.5" customHeight="1" s="47">
      <c r="B12" s="5" t="inlineStr">
        <is>
          <t>提出期限</t>
        </is>
      </c>
      <c r="C12" s="6" t="inlineStr">
        <is>
          <t>2026年6月30日 17:00 JST</t>
        </is>
      </c>
      <c r="D12" s="48" t="n"/>
    </row>
    <row r="13" ht="16.5" customHeight="1" s="47">
      <c r="B13" s="5" t="inlineStr">
        <is>
          <t>質問受付期限</t>
        </is>
      </c>
      <c r="C13" s="6" t="inlineStr">
        <is>
          <t>2026年5月23日 17:00 JST</t>
        </is>
      </c>
      <c r="D13" s="48" t="n"/>
    </row>
    <row r="14" ht="16.5" customHeight="1" s="47">
      <c r="B14" s="5" t="inlineStr">
        <is>
          <t>提出先</t>
        </is>
      </c>
      <c r="C14" s="6" t="inlineStr">
        <is>
          <t>icp-rfp@example-jgm.co.jp（情報システム本部 デジタル戦略部）</t>
        </is>
      </c>
      <c r="D14" s="48" t="n"/>
    </row>
    <row r="17" ht="18" customHeight="1" s="47">
      <c r="B17" s="4" t="inlineStr">
        <is>
          <t>発注者プロフィール</t>
        </is>
      </c>
    </row>
    <row r="18" ht="16.5" customHeight="1" s="47">
      <c r="B18" s="5" t="inlineStr">
        <is>
          <t>会社名</t>
        </is>
      </c>
      <c r="C18" s="6" t="inlineStr">
        <is>
          <t>日本グローバル製造株式会社（JGM Corporation）</t>
        </is>
      </c>
      <c r="D18" s="48" t="n"/>
    </row>
    <row r="19" ht="16.5" customHeight="1" s="47">
      <c r="B19" s="5" t="inlineStr">
        <is>
          <t>業種</t>
        </is>
      </c>
      <c r="C19" s="6" t="inlineStr">
        <is>
          <t>総合製造業（自動車部品・精密機器・産業機械）</t>
        </is>
      </c>
      <c r="D19" s="48" t="n"/>
    </row>
    <row r="20" ht="16.5" customHeight="1" s="47">
      <c r="B20" s="5" t="inlineStr">
        <is>
          <t>連結従業員数</t>
        </is>
      </c>
      <c r="C20" s="6" t="inlineStr">
        <is>
          <t>約25,000名（国内18,500名／海外6,500名）</t>
        </is>
      </c>
      <c r="D20" s="48" t="n"/>
    </row>
    <row r="21" ht="16.5" customHeight="1" s="47">
      <c r="B21" s="5" t="inlineStr">
        <is>
          <t>拠点数</t>
        </is>
      </c>
      <c r="C21" s="6" t="inlineStr">
        <is>
          <t>国内30拠点／海外10拠点（全15カ国）</t>
        </is>
      </c>
      <c r="D21" s="48" t="n"/>
    </row>
    <row r="22" ht="16.5" customHeight="1" s="47">
      <c r="B22" s="5" t="inlineStr">
        <is>
          <t>年間売上高</t>
        </is>
      </c>
      <c r="C22" s="6" t="inlineStr">
        <is>
          <t>約1.2兆円（連結）</t>
        </is>
      </c>
      <c r="D22" s="48" t="n"/>
    </row>
    <row r="23" ht="16.5" customHeight="1" s="47">
      <c r="B23" s="5" t="inlineStr">
        <is>
          <t>会計年度</t>
        </is>
      </c>
      <c r="C23" s="6" t="inlineStr">
        <is>
          <t>4月〜翌3月</t>
        </is>
      </c>
      <c r="D23" s="48" t="n"/>
    </row>
    <row r="26" ht="18" customHeight="1" s="47">
      <c r="B26" s="4" t="inlineStr">
        <is>
          <t>機密保持に関する注意事項</t>
        </is>
      </c>
    </row>
    <row r="27" ht="18.75" customHeight="1" s="47">
      <c r="B27" s="8" t="inlineStr">
        <is>
          <t>本書面に記載される情報は機密情報とする。受領者は事前に締結された秘密保持契約（NDA）に基づき、本RFP対応目的以外への利用、第三者への開示、複製を禁止する。本プロジェクトに関する一切の情報は、提案検討完了後または不採用通知後30日以内に破棄または返却すること。</t>
        </is>
      </c>
      <c r="C27" s="49" t="n"/>
      <c r="D27" s="50" t="n"/>
    </row>
    <row r="28" ht="18.75" customHeight="1" s="47">
      <c r="B28" s="51" t="n"/>
      <c r="D28" s="52" t="n"/>
    </row>
    <row r="29" ht="18.75" customHeight="1" s="47">
      <c r="B29" s="51" t="n"/>
      <c r="D29" s="52" t="n"/>
    </row>
    <row r="30" ht="18.75" customHeight="1" s="47">
      <c r="B30" s="53" t="n"/>
      <c r="C30" s="54" t="n"/>
      <c r="D30" s="55" t="n"/>
    </row>
    <row r="32">
      <c r="B32" s="56" t="inlineStr">
        <is>
          <t>■ 回答情報</t>
        </is>
      </c>
    </row>
    <row r="33">
      <c r="B33" s="57" t="inlineStr">
        <is>
          <t>回答日：2026年4月27日</t>
        </is>
      </c>
    </row>
    <row r="34">
      <c r="B34" s="57" t="inlineStr">
        <is>
          <t>回答者：Staffbase セールスエンジニアリング部門</t>
        </is>
      </c>
    </row>
    <row r="35">
      <c r="B35" s="57" t="inlineStr">
        <is>
          <t>本回答は公式サポートドキュメント（https://support.staffbase.com/hc/ja）および各KBファイルに基づき作成されています。</t>
        </is>
      </c>
    </row>
    <row r="36">
      <c r="B36" s="57" t="inlineStr">
        <is>
          <t>凡例：【標準/対応可】=標準機能で対応可能  【条件付き/要相談】=条件または追加設定が必要  【要確認】=公式資料未記載のため要確認</t>
        </is>
      </c>
    </row>
  </sheetData>
  <mergeCells count="20">
    <mergeCell ref="B17:D17"/>
    <mergeCell ref="C14:D14"/>
    <mergeCell ref="C20:D20"/>
    <mergeCell ref="C10:D10"/>
    <mergeCell ref="C22:D22"/>
    <mergeCell ref="C9:D9"/>
    <mergeCell ref="C12:D12"/>
    <mergeCell ref="C21:D21"/>
    <mergeCell ref="C11:D11"/>
    <mergeCell ref="B27:D30"/>
    <mergeCell ref="B4:D4"/>
    <mergeCell ref="B26:D26"/>
    <mergeCell ref="B7:D7"/>
    <mergeCell ref="C23:D23"/>
    <mergeCell ref="C8:D8"/>
    <mergeCell ref="B3:D3"/>
    <mergeCell ref="C19:D19"/>
    <mergeCell ref="C13:D13"/>
    <mergeCell ref="C18:D18"/>
    <mergeCell ref="B2:D2"/>
  </mergeCells>
  <pageMargins left="0.7" right="0.7" top="0.75" bottom="0.75" header="0.3" footer="0.3"/>
  <pageSetup orientation="portrait" paperSize="1"/>
  <headerFooter>
    <oddHeader>&amp;L&amp;C&amp;R</oddHeader>
    <oddFooter>&amp;L&amp;C&amp;R</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F18"/>
  <sheetViews>
    <sheetView topLeftCell="A1" workbookViewId="0">
      <selection activeCell="A1" sqref="A1:F1"/>
    </sheetView>
  </sheetViews>
  <sheetFormatPr baseColWidth="8" defaultColWidth="8.8515625" defaultRowHeight="15" customHeight="1"/>
  <cols>
    <col width="2.8515625" customWidth="1" style="47" min="1" max="1"/>
    <col width="11.421875" customWidth="1" style="47" min="2" max="2"/>
    <col width="54.28125" customWidth="1" style="47" min="3" max="3"/>
    <col width="18.57421875" customWidth="1" style="47" min="4" max="5"/>
    <col width="2.8515625" customWidth="1" style="47" min="6" max="6"/>
  </cols>
  <sheetData>
    <row r="1" ht="22.5" customHeight="1" s="47">
      <c r="A1" s="9" t="inlineStr">
        <is>
          <t>目次 / Table of Contents</t>
        </is>
      </c>
    </row>
    <row r="3" ht="19.5" customHeight="1" s="47">
      <c r="B3" s="10" t="inlineStr">
        <is>
          <t>章番号</t>
        </is>
      </c>
      <c r="C3" s="10" t="inlineStr">
        <is>
          <t>章タイトル</t>
        </is>
      </c>
      <c r="D3" s="10" t="inlineStr">
        <is>
          <t>想定ページ数</t>
        </is>
      </c>
      <c r="E3" s="10" t="inlineStr">
        <is>
          <t>シート名</t>
        </is>
      </c>
    </row>
    <row r="4" ht="16.5" customHeight="1" s="47">
      <c r="B4" s="11" t="n">
        <v>0</v>
      </c>
      <c r="C4" s="12" t="inlineStr">
        <is>
          <t>表紙・文書管理情報</t>
        </is>
      </c>
      <c r="D4" s="13" t="n">
        <v>1</v>
      </c>
      <c r="E4" s="12" t="inlineStr">
        <is>
          <t>00_表紙</t>
        </is>
      </c>
    </row>
    <row r="5" ht="16.5" customHeight="1" s="47">
      <c r="B5" s="11" t="n">
        <v>0</v>
      </c>
      <c r="C5" s="12" t="inlineStr">
        <is>
          <t>目次</t>
        </is>
      </c>
      <c r="D5" s="13" t="n">
        <v>1</v>
      </c>
      <c r="E5" s="12" t="inlineStr">
        <is>
          <t>01_目次</t>
        </is>
      </c>
    </row>
    <row r="6" ht="16.5" customHeight="1" s="47">
      <c r="B6" s="11" t="n">
        <v>1</v>
      </c>
      <c r="C6" s="12" t="inlineStr">
        <is>
          <t>背景・プロジェクト目的</t>
        </is>
      </c>
      <c r="D6" s="13" t="n">
        <v>3</v>
      </c>
      <c r="E6" s="12" t="inlineStr">
        <is>
          <t>02_背景目的</t>
        </is>
      </c>
    </row>
    <row r="7" ht="16.5" customHeight="1" s="47">
      <c r="B7" s="11" t="n">
        <v>2</v>
      </c>
      <c r="C7" s="12" t="inlineStr">
        <is>
          <t>機能要件</t>
        </is>
      </c>
      <c r="D7" s="13" t="n">
        <v>12</v>
      </c>
      <c r="E7" s="12" t="inlineStr">
        <is>
          <t>03_機能要件</t>
        </is>
      </c>
    </row>
    <row r="8" ht="16.5" customHeight="1" s="47">
      <c r="B8" s="11" t="n">
        <v>3</v>
      </c>
      <c r="C8" s="12" t="inlineStr">
        <is>
          <t>非機能要件</t>
        </is>
      </c>
      <c r="D8" s="13" t="n">
        <v>6</v>
      </c>
      <c r="E8" s="12" t="inlineStr">
        <is>
          <t>04_非機能要件</t>
        </is>
      </c>
    </row>
    <row r="9" ht="16.5" customHeight="1" s="47">
      <c r="B9" s="11" t="n">
        <v>4</v>
      </c>
      <c r="C9" s="12" t="inlineStr">
        <is>
          <t>既存システム連携要件</t>
        </is>
      </c>
      <c r="D9" s="13" t="n">
        <v>5</v>
      </c>
      <c r="E9" s="12" t="inlineStr">
        <is>
          <t>05_連携要件</t>
        </is>
      </c>
    </row>
    <row r="10" ht="16.5" customHeight="1" s="47">
      <c r="B10" s="11" t="n">
        <v>5</v>
      </c>
      <c r="C10" s="12" t="inlineStr">
        <is>
          <t>運用要件</t>
        </is>
      </c>
      <c r="D10" s="13" t="n">
        <v>4</v>
      </c>
      <c r="E10" s="12" t="inlineStr">
        <is>
          <t>06_運用要件</t>
        </is>
      </c>
    </row>
    <row r="11" ht="16.5" customHeight="1" s="47">
      <c r="B11" s="11" t="n">
        <v>6</v>
      </c>
      <c r="C11" s="12" t="inlineStr">
        <is>
          <t>セキュリティ・コンプライアンス要件</t>
        </is>
      </c>
      <c r="D11" s="13" t="n">
        <v>5</v>
      </c>
      <c r="E11" s="12" t="inlineStr">
        <is>
          <t>07_セキュリティ</t>
        </is>
      </c>
    </row>
    <row r="12" ht="16.5" customHeight="1" s="47">
      <c r="B12" s="11" t="n">
        <v>7</v>
      </c>
      <c r="C12" s="12" t="inlineStr">
        <is>
          <t>評価基準</t>
        </is>
      </c>
      <c r="D12" s="13" t="n">
        <v>2</v>
      </c>
      <c r="E12" s="12" t="inlineStr">
        <is>
          <t>08_評価基準</t>
        </is>
      </c>
    </row>
    <row r="13" ht="16.5" customHeight="1" s="47">
      <c r="B13" s="11" t="n">
        <v>8</v>
      </c>
      <c r="C13" s="12" t="inlineStr">
        <is>
          <t>提案依頼事項（質問票）</t>
        </is>
      </c>
      <c r="D13" s="13" t="n">
        <v>3</v>
      </c>
      <c r="E13" s="12" t="inlineStr">
        <is>
          <t>09_提案依頼事項</t>
        </is>
      </c>
    </row>
    <row r="16" ht="18" customHeight="1" s="47">
      <c r="B16" s="4" t="inlineStr">
        <is>
          <t>改訂履歴</t>
        </is>
      </c>
    </row>
    <row r="17" ht="18" customHeight="1" s="47">
      <c r="B17" s="14" t="inlineStr">
        <is>
          <t>Rev.</t>
        </is>
      </c>
      <c r="C17" s="14" t="inlineStr">
        <is>
          <t>日付</t>
        </is>
      </c>
      <c r="D17" s="14" t="inlineStr">
        <is>
          <t>改訂内容</t>
        </is>
      </c>
      <c r="E17" s="14" t="inlineStr">
        <is>
          <t>承認者</t>
        </is>
      </c>
    </row>
    <row r="18" ht="16.5" customHeight="1" s="47">
      <c r="B18" s="13" t="n">
        <v>1</v>
      </c>
      <c r="C18" s="13" t="inlineStr">
        <is>
          <t>2026-04-27</t>
        </is>
      </c>
      <c r="D18" s="13" t="inlineStr">
        <is>
          <t>初版発行</t>
        </is>
      </c>
      <c r="E18" s="13" t="inlineStr">
        <is>
          <t>情報システム本部長</t>
        </is>
      </c>
    </row>
  </sheetData>
  <mergeCells count="2">
    <mergeCell ref="A1:F1"/>
    <mergeCell ref="B16:E16"/>
  </mergeCells>
  <pageMargins left="0.7" right="0.7" top="0.75" bottom="0.75" header="0.3" footer="0.3"/>
  <pageSetup orientation="portrait" paperSize="1"/>
  <headerFooter>
    <oddHeader>&amp;L&amp;C&amp;R</oddHeader>
    <oddFooter>&amp;L&amp;C&amp;R</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28"/>
  <sheetViews>
    <sheetView topLeftCell="A1" workbookViewId="0">
      <selection activeCell="A1" sqref="A1:D1"/>
    </sheetView>
  </sheetViews>
  <sheetFormatPr baseColWidth="8" defaultColWidth="8.8515625" defaultRowHeight="15" customHeight="1"/>
  <cols>
    <col width="2.8515625" customWidth="1" style="47" min="1" max="1"/>
    <col width="12.8515625" customWidth="1" style="47" min="2" max="2"/>
    <col width="88.57421875" customWidth="1" style="47" min="3" max="3"/>
    <col width="2.8515625" customWidth="1" style="47" min="4" max="4"/>
  </cols>
  <sheetData>
    <row r="1" ht="22.5" customHeight="1" s="47">
      <c r="A1" s="9" t="inlineStr">
        <is>
          <t>第1章 背景・プロジェクト目的</t>
        </is>
      </c>
    </row>
    <row r="3" ht="18" customHeight="1" s="47">
      <c r="B3" s="4" t="inlineStr">
        <is>
          <t>1.1 事業環境および現状認識</t>
        </is>
      </c>
    </row>
    <row r="4" ht="67.5" customHeight="1" s="47">
      <c r="B4" s="15" t="inlineStr">
        <is>
          <t>当社は国内30拠点、海外10拠点を有するグローバル製造業として事業を展開している。直近の従業員エンゲージメント調査において、エンゲージメントスコアは業界平均を10ポイント下回り、特に製造現場および海外拠点従業員における経営方針・全社施策の浸透度に深刻な課題を抱えている。社内情報の伝達経路がメール、SharePoint、紙掲示、各部門独自ポータル等に分散しており、情報到達率および即時性が著しく低下している状況である。</t>
        </is>
      </c>
      <c r="C4" s="48" t="n"/>
    </row>
    <row r="6" ht="18" customHeight="1" s="47">
      <c r="B6" s="4" t="inlineStr">
        <is>
          <t>1.2 現状の主要課題</t>
        </is>
      </c>
    </row>
    <row r="7" ht="18" customHeight="1" s="47">
      <c r="B7" s="14" t="inlineStr">
        <is>
          <t>No.</t>
        </is>
      </c>
      <c r="C7" s="14" t="inlineStr">
        <is>
          <t>課題</t>
        </is>
      </c>
    </row>
    <row r="8" ht="28.5" customHeight="1" s="47">
      <c r="B8" s="16" t="n">
        <v>1</v>
      </c>
      <c r="C8" s="15" t="inlineStr">
        <is>
          <t>情報チャネルの分散：メール／SharePoint／紙掲示／部門独自ポータル等が併存し、情報到達率は推定45%以下にとどまる</t>
        </is>
      </c>
    </row>
    <row r="9" ht="28.5" customHeight="1" s="47">
      <c r="B9" s="16" t="n">
        <v>2</v>
      </c>
      <c r="C9" s="15" t="inlineStr">
        <is>
          <t>ノンデスクワーカーへのリーチ不足：製造現場約12,000名がPCを保有せず、社内情報へのアクセス手段が限定されている</t>
        </is>
      </c>
    </row>
    <row r="10" ht="28.5" customHeight="1" s="47">
      <c r="B10" s="16" t="n">
        <v>3</v>
      </c>
      <c r="C10" s="15" t="inlineStr">
        <is>
          <t>多言語対応の遅れ：海外拠点向けコンテンツの翻訳がローカル運用に依存し、本社発信情報の即時展開が困難</t>
        </is>
      </c>
    </row>
    <row r="11" ht="28.5" customHeight="1" s="47">
      <c r="B11" s="16" t="n">
        <v>4</v>
      </c>
      <c r="C11" s="15" t="inlineStr">
        <is>
          <t>ターゲティング配信の欠如：拠点・職種・言語に応じた最適な情報配信ができず、情報過多と未到達が同時に発生</t>
        </is>
      </c>
    </row>
    <row r="12" ht="28.5" customHeight="1" s="47">
      <c r="B12" s="16" t="n">
        <v>5</v>
      </c>
      <c r="C12" s="15" t="inlineStr">
        <is>
          <t>効果測定の不在：情報配信の閲覧・到達・反応を定量把握できず、PDCAが機能していない</t>
        </is>
      </c>
    </row>
    <row r="13" ht="28.5" customHeight="1" s="47">
      <c r="B13" s="16" t="n">
        <v>6</v>
      </c>
      <c r="C13" s="15" t="inlineStr">
        <is>
          <t>ガバナンス不全：コンテンツ承認フローが各部門でバラつき、ブランド・コンプライアンス上のリスクが顕在化</t>
        </is>
      </c>
    </row>
    <row r="15" ht="18" customHeight="1" s="47">
      <c r="B15" s="4" t="inlineStr">
        <is>
          <t>1.3 プロジェクトの目的および到達目標</t>
        </is>
      </c>
    </row>
    <row r="16" ht="18" customHeight="1" s="47">
      <c r="B16" s="14" t="inlineStr">
        <is>
          <t>目的ID</t>
        </is>
      </c>
      <c r="C16" s="14" t="inlineStr">
        <is>
          <t>目的・KPI</t>
        </is>
      </c>
    </row>
    <row r="17" ht="24" customHeight="1" s="47">
      <c r="B17" s="16" t="inlineStr">
        <is>
          <t>OBJ-01</t>
        </is>
      </c>
      <c r="C17" s="15" t="inlineStr">
        <is>
          <t>全従業員（25,000名）が単一のコミュニケーション基盤にアクセス可能な環境を構築する</t>
        </is>
      </c>
    </row>
    <row r="18" ht="24" customHeight="1" s="47">
      <c r="B18" s="16" t="inlineStr">
        <is>
          <t>OBJ-02</t>
        </is>
      </c>
      <c r="C18" s="15" t="inlineStr">
        <is>
          <t>ノンデスクワーカーを含む全従業員のスマートフォンアクセス率を90%以上とする</t>
        </is>
      </c>
    </row>
    <row r="19" ht="24" customHeight="1" s="47">
      <c r="B19" s="16" t="inlineStr">
        <is>
          <t>OBJ-03</t>
        </is>
      </c>
      <c r="C19" s="15" t="inlineStr">
        <is>
          <t>本社発信情報の到達率を導入後12カ月以内に85%以上に引き上げる</t>
        </is>
      </c>
    </row>
    <row r="20" ht="24" customHeight="1" s="47">
      <c r="B20" s="16" t="inlineStr">
        <is>
          <t>OBJ-04</t>
        </is>
      </c>
      <c r="C20" s="15" t="inlineStr">
        <is>
          <t>日本語・英語・中国語（簡体字）を必須とし、最大10言語までの拡張に対応する</t>
        </is>
      </c>
    </row>
    <row r="21" ht="24" customHeight="1" s="47">
      <c r="B21" s="16" t="inlineStr">
        <is>
          <t>OBJ-05</t>
        </is>
      </c>
      <c r="C21" s="15" t="inlineStr">
        <is>
          <t>従業員エンゲージメントスコア（eNPS）を導入後24カ月以内に+15ポイント改善する</t>
        </is>
      </c>
    </row>
    <row r="22" ht="24" customHeight="1" s="47">
      <c r="B22" s="16" t="inlineStr">
        <is>
          <t>OBJ-06</t>
        </is>
      </c>
      <c r="C22" s="15" t="inlineStr">
        <is>
          <t>コンテンツ作成・承認・配信に係る運用工数を従来比で30%削減する</t>
        </is>
      </c>
    </row>
    <row r="24" ht="18" customHeight="1" s="47">
      <c r="B24" s="4" t="inlineStr">
        <is>
          <t>1.4 プロジェクトスコープ</t>
        </is>
      </c>
    </row>
    <row r="25" ht="18" customHeight="1" s="47">
      <c r="B25" s="14" t="inlineStr">
        <is>
          <t>区分</t>
        </is>
      </c>
      <c r="C25" s="14" t="inlineStr">
        <is>
          <t>内容</t>
        </is>
      </c>
    </row>
    <row r="26" ht="24" customHeight="1" s="47">
      <c r="B26" s="16" t="inlineStr">
        <is>
          <t>対象範囲</t>
        </is>
      </c>
      <c r="C26" s="15" t="inlineStr">
        <is>
          <t>国内30拠点・海外10拠点の全25,000名。雇用形態を問わず正社員・契約社員・派遣社員・出向者を含む。</t>
        </is>
      </c>
    </row>
    <row r="27" ht="24" customHeight="1" s="47">
      <c r="B27" s="16" t="inlineStr">
        <is>
          <t>対象外</t>
        </is>
      </c>
      <c r="C27" s="15" t="inlineStr">
        <is>
          <t>取引先・派遣元企業従業員・退職者。グループ会社（連結対象外）への展開は将来検討事項とする。</t>
        </is>
      </c>
    </row>
    <row r="28" ht="24" customHeight="1" s="47">
      <c r="B28" s="16" t="inlineStr">
        <is>
          <t>想定稼働</t>
        </is>
      </c>
      <c r="C28" s="15" t="inlineStr">
        <is>
          <t>2026年12月 パイロット稼働（5拠点）／2027年4月 全社展開／2027年10月 海外拠点展開完了</t>
        </is>
      </c>
    </row>
  </sheetData>
  <mergeCells count="6">
    <mergeCell ref="A1:D1"/>
    <mergeCell ref="B6:C6"/>
    <mergeCell ref="B24:C24"/>
    <mergeCell ref="B15:C15"/>
    <mergeCell ref="B3:C3"/>
    <mergeCell ref="B4:C4"/>
  </mergeCells>
  <pageMargins left="0.7" right="0.7" top="0.75" bottom="0.75" header="0.3" footer="0.3"/>
  <pageSetup orientation="portrait" paperSize="1"/>
  <headerFooter>
    <oddHeader>&amp;L&amp;C&amp;R</oddHeader>
    <oddFooter>&amp;L&amp;C&amp;R</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G37"/>
  <sheetViews>
    <sheetView tabSelected="1" topLeftCell="A24" workbookViewId="0">
      <selection activeCell="A1" sqref="A1:F1"/>
    </sheetView>
  </sheetViews>
  <sheetFormatPr baseColWidth="8" defaultColWidth="8.8515625" defaultRowHeight="15" customHeight="1"/>
  <cols>
    <col width="2.8515625" customWidth="1" style="47" min="1" max="1"/>
    <col width="14.28125" customWidth="1" style="47" min="2" max="2"/>
    <col width="25.7109375" customWidth="1" style="47" min="3" max="3"/>
    <col width="74.28125" customWidth="1" style="47" min="4" max="4"/>
    <col width="10.00390625" customWidth="1" style="47" min="5" max="5"/>
    <col width="14.28125" customWidth="1" style="47" min="6" max="6"/>
    <col width="65" customWidth="1" style="47" min="7" max="7"/>
  </cols>
  <sheetData>
    <row r="1" ht="21" customHeight="1" s="47">
      <c r="A1" s="17" t="inlineStr">
        <is>
          <t>第2章 機能要件</t>
        </is>
      </c>
    </row>
    <row r="2"/>
    <row r="3" ht="16.5" customHeight="1" s="47">
      <c r="B3" s="18" t="inlineStr">
        <is>
          <t>優先度 M=必須／S=推奨／C=任意　｜　区分 標準=標準機能／カスタム=カスタム開発／要相談=確認要</t>
        </is>
      </c>
      <c r="C3" s="58" t="n"/>
      <c r="D3" s="58" t="n"/>
      <c r="E3" s="58" t="n"/>
      <c r="F3" s="59" t="n"/>
    </row>
    <row r="4"/>
    <row r="5" ht="21" customHeight="1" s="47">
      <c r="B5" s="19" t="inlineStr">
        <is>
          <t>要件ID</t>
        </is>
      </c>
      <c r="C5" s="19" t="inlineStr">
        <is>
          <t>要件名</t>
        </is>
      </c>
      <c r="D5" s="19" t="inlineStr">
        <is>
          <t>要件詳細</t>
        </is>
      </c>
      <c r="E5" s="19" t="inlineStr">
        <is>
          <t>優先度</t>
        </is>
      </c>
      <c r="F5" s="19" t="inlineStr">
        <is>
          <t>区分</t>
        </is>
      </c>
      <c r="G5" s="60" t="inlineStr">
        <is>
          <t>Staffbase回答</t>
        </is>
      </c>
    </row>
    <row r="6" ht="16.5" customHeight="1" s="47">
      <c r="B6" s="20" t="inlineStr">
        <is>
          <t>2.1 社内コミュニケーション</t>
        </is>
      </c>
    </row>
    <row r="7" ht="80" customHeight="1" s="47">
      <c r="B7" s="21" t="inlineStr">
        <is>
          <t>FR-CM-01</t>
        </is>
      </c>
      <c r="C7" s="22" t="inlineStr">
        <is>
          <t>全社ニュースフィード</t>
        </is>
      </c>
      <c r="D7" s="22" t="inlineStr">
        <is>
          <t>経営層・部門・拠点情報を時系列フィードに集約。優先度に応じピン留め可能。</t>
        </is>
      </c>
      <c r="E7" s="23" t="inlineStr">
        <is>
          <t>M</t>
        </is>
      </c>
      <c r="F7" s="24" t="inlineStr">
        <is>
          <t>標準</t>
        </is>
      </c>
      <c r="G7" s="61" t="inlineStr">
        <is>
          <t>【標準】
可能です。全社ニュースフィード機能を標準提供しており、経営層・部門・拠点情報を時系列フィードに集約できます。ピン留め機能も標準対応しています。
参照：https://support.staffbase.com/hc/ja/articles/29227790087954</t>
        </is>
      </c>
    </row>
    <row r="8" ht="80" customHeight="1" s="47">
      <c r="B8" s="21" t="inlineStr">
        <is>
          <t>FR-CM-02</t>
        </is>
      </c>
      <c r="C8" s="22" t="inlineStr">
        <is>
          <t>双方向反応機能</t>
        </is>
      </c>
      <c r="D8" s="22" t="inlineStr">
        <is>
          <t>いいね、コメント、絵文字、アンケート、Q&amp;Aを標準具備。モデレーション機能含む。</t>
        </is>
      </c>
      <c r="E8" s="23" t="inlineStr">
        <is>
          <t>M</t>
        </is>
      </c>
      <c r="F8" s="24" t="inlineStr">
        <is>
          <t>標準</t>
        </is>
      </c>
      <c r="G8" s="61" t="inlineStr">
        <is>
          <t>【標準】
可能です。いいね・コメント・絵文字・アンケート・Q&amp;A機能を標準具備しています。モデレーション機能も含まれます。
参照：https://support.staffbase.com/hc/ja/articles/17823110482450</t>
        </is>
      </c>
    </row>
    <row r="9" ht="80" customHeight="1" s="47">
      <c r="B9" s="21" t="inlineStr">
        <is>
          <t>FR-CM-03</t>
        </is>
      </c>
      <c r="C9" s="22" t="inlineStr">
        <is>
          <t>動画配信</t>
        </is>
      </c>
      <c r="D9" s="22" t="inlineStr">
        <is>
          <t>経営メッセージ動画(最大2GB)のアップロード・ストリーミング、字幕自動生成、視聴ログ取得。</t>
        </is>
      </c>
      <c r="E9" s="23" t="inlineStr">
        <is>
          <t>M</t>
        </is>
      </c>
      <c r="F9" s="24" t="inlineStr">
        <is>
          <t>標準</t>
        </is>
      </c>
      <c r="G9" s="61" t="inlineStr">
        <is>
          <t>【標準】
可能です。動画アップロード・ストリーミング・視聴ログ取得が可能です。字幕自動生成については要確認（公式資料未記載）です。
参照：https://support.staffbase.com/hc/ja/articles/29173977051538</t>
        </is>
      </c>
    </row>
    <row r="10" ht="80" customHeight="1" s="47">
      <c r="B10" s="21" t="inlineStr">
        <is>
          <t>FR-CM-04</t>
        </is>
      </c>
      <c r="C10" s="22" t="inlineStr">
        <is>
          <t>ライブタウンホール</t>
        </is>
      </c>
      <c r="D10" s="22" t="inlineStr">
        <is>
          <t>全社員25,000名が同時視聴可能なライブ配信、リアルタイムQ&amp;A、オンデマンド再配信に対応。</t>
        </is>
      </c>
      <c r="E10" s="25" t="inlineStr">
        <is>
          <t>S</t>
        </is>
      </c>
      <c r="F10" s="26" t="inlineStr">
        <is>
          <t>要相談</t>
        </is>
      </c>
      <c r="G10" s="62" t="inlineStr">
        <is>
          <t>【要相談】
条件付き可能です。ライブタウンホール（25,000名同時視聴）については、要件の規模・技術仕様を踏まえた詳細確認が必要です。リアルタイムQ&amp;A・オンデマンド再配信については要相談となります。
参照：limitations_kb.md</t>
        </is>
      </c>
    </row>
    <row r="11" ht="80" customHeight="1" s="47">
      <c r="B11" s="21" t="inlineStr">
        <is>
          <t>FR-CM-05</t>
        </is>
      </c>
      <c r="C11" s="22" t="inlineStr">
        <is>
          <t>緊急プッシュ通知</t>
        </is>
      </c>
      <c r="D11" s="22" t="inlineStr">
        <is>
          <t>災害・BCPインシデント発生時、対象拠点に3分以内に読了確認付きプッシュ通知を発信。</t>
        </is>
      </c>
      <c r="E11" s="23" t="inlineStr">
        <is>
          <t>M</t>
        </is>
      </c>
      <c r="F11" s="24" t="inlineStr">
        <is>
          <t>標準</t>
        </is>
      </c>
      <c r="G11" s="61" t="inlineStr">
        <is>
          <t>【標準】
可能です。緊急プッシュ通知機能を標準提供しており、対象拠点への即時配信と読了確認が可能です。3分以内の配信については、ネットワーク環境に依存しますが標準的に対応しています。
参照：https://support.staffbase.com/hc/ja/articles/207179685</t>
        </is>
      </c>
    </row>
    <row r="12" ht="80" customHeight="1" s="47">
      <c r="B12" s="21" t="inlineStr">
        <is>
          <t>FR-CM-06</t>
        </is>
      </c>
      <c r="C12" s="22" t="inlineStr">
        <is>
          <t>イントラ全文検索</t>
        </is>
      </c>
      <c r="D12" s="22" t="inlineStr">
        <is>
          <t>日本語形態素解析対応、添付ファイル内検索、権限フィルタリング検索を実装。</t>
        </is>
      </c>
      <c r="E12" s="23" t="inlineStr">
        <is>
          <t>M</t>
        </is>
      </c>
      <c r="F12" s="24" t="inlineStr">
        <is>
          <t>標準</t>
        </is>
      </c>
      <c r="G12" s="61" t="inlineStr">
        <is>
          <t>【標準】
可能です。全文検索機能を標準提供しています。日本語形態素解析・添付ファイル内検索・権限フィルタリング検索については、詳細仕様を要確認（公式資料未記載）です。
参照：https://support.staffbase.com/hc/ja/articles/25485706063890</t>
        </is>
      </c>
    </row>
    <row r="13" ht="80" customHeight="1" s="47">
      <c r="B13" s="21" t="inlineStr">
        <is>
          <t>FR-CM-07</t>
        </is>
      </c>
      <c r="C13" s="22" t="inlineStr">
        <is>
          <t>AIアシスタント</t>
        </is>
      </c>
      <c r="D13" s="22" t="inlineStr">
        <is>
          <t>生成AIによる記事要約・翻訳・ドラフト作成・自然言語検索を実装可能であること。</t>
        </is>
      </c>
      <c r="E13" s="25" t="inlineStr">
        <is>
          <t>S</t>
        </is>
      </c>
      <c r="F13" s="26" t="inlineStr">
        <is>
          <t>要相談</t>
        </is>
      </c>
      <c r="G13" s="62" t="inlineStr">
        <is>
          <t>【要相談】
条件付き可能です。AI機能（Companion Editor）による記事要約・翻訳・ドラフト作成は標準提供されています。自然言語検索（Navigator）も提供されています。詳細仕様は要相談です。
参照：https://support.staffbase.com/hc/ja/articles/29517799785234</t>
        </is>
      </c>
    </row>
    <row r="14" ht="16.5" customHeight="1" s="47">
      <c r="B14" s="20" t="inlineStr">
        <is>
          <t>2.2 モバイル対応</t>
        </is>
      </c>
    </row>
    <row r="15" ht="80" customHeight="1" s="47">
      <c r="B15" s="21" t="inlineStr">
        <is>
          <t>FR-MB-01</t>
        </is>
      </c>
      <c r="C15" s="22" t="inlineStr">
        <is>
          <t>ネイティブアプリ</t>
        </is>
      </c>
      <c r="D15" s="22" t="inlineStr">
        <is>
          <t>iOS/Android向けネイティブアプリ提供。BYOD前提、MAM対応必須。</t>
        </is>
      </c>
      <c r="E15" s="23" t="inlineStr">
        <is>
          <t>M</t>
        </is>
      </c>
      <c r="F15" s="24" t="inlineStr">
        <is>
          <t>標準</t>
        </is>
      </c>
      <c r="G15" s="61" t="inlineStr">
        <is>
          <t>【標準】
可能です。iOS/Android向けネイティブアプリを標準提供しています。BYOD前提での利用が可能です。MAM（モバイルアプリ管理）対応については要確認（公式資料未記載）です。
参照：https://support.staffbase.com/hc/ja/articles/4414688840594</t>
        </is>
      </c>
    </row>
    <row r="16" ht="80" customHeight="1" s="47">
      <c r="B16" s="21" t="inlineStr">
        <is>
          <t>FR-MB-02</t>
        </is>
      </c>
      <c r="C16" s="22" t="inlineStr">
        <is>
          <t>ブランデッドアプリ</t>
        </is>
      </c>
      <c r="D16" s="22" t="inlineStr">
        <is>
          <t>当社専用ブランド(ロゴ・カラー・名称・アイコン)でApp Store/Google Play公開可能。</t>
        </is>
      </c>
      <c r="E16" s="23" t="inlineStr">
        <is>
          <t>M</t>
        </is>
      </c>
      <c r="F16" s="24" t="inlineStr">
        <is>
          <t>標準</t>
        </is>
      </c>
      <c r="G16" s="61" t="inlineStr">
        <is>
          <t>【標準】
可能です。企業専用ブランド（ロゴ・カラー・名称・アイコン）でApp Store/Google Playへの公開が可能です。
参照：https://support.staffbase.com/hc/ja/articles/207136665</t>
        </is>
      </c>
    </row>
    <row r="17" ht="80" customHeight="1" s="47">
      <c r="B17" s="21" t="inlineStr">
        <is>
          <t>FR-MB-03</t>
        </is>
      </c>
      <c r="C17" s="22" t="inlineStr">
        <is>
          <t>オフラインアクセス</t>
        </is>
      </c>
      <c r="D17" s="22" t="inlineStr">
        <is>
          <t>工場・倉庫等の通信不安定環境で、直近ニュース・マニュアルをオフラインキャッシュ閲覧可能。</t>
        </is>
      </c>
      <c r="E17" s="23" t="inlineStr">
        <is>
          <t>M</t>
        </is>
      </c>
      <c r="F17" s="24" t="inlineStr">
        <is>
          <t>標準</t>
        </is>
      </c>
      <c r="G17" s="61" t="inlineStr">
        <is>
          <t>【標準】
可能です。オフラインキャッシュ機能を標準提供しており、通信不安定環境でも直近コンテンツの閲覧が可能です。
参照：https://support.staffbase.com/hc/ja/articles/23615493853074</t>
        </is>
      </c>
    </row>
    <row r="18" ht="80" customHeight="1" s="47">
      <c r="B18" s="21" t="inlineStr">
        <is>
          <t>FR-MB-04</t>
        </is>
      </c>
      <c r="C18" s="22" t="inlineStr">
        <is>
          <t>ノンデスク向けログイン</t>
        </is>
      </c>
      <c r="D18" s="22" t="inlineStr">
        <is>
          <t>メール非保有の現場従業員向けQRコード/従業員ID+PIN方式のログインを許容。</t>
        </is>
      </c>
      <c r="E18" s="23" t="inlineStr">
        <is>
          <t>M</t>
        </is>
      </c>
      <c r="F18" s="27" t="inlineStr">
        <is>
          <t>カスタム</t>
        </is>
      </c>
      <c r="G18" s="63" t="inlineStr">
        <is>
          <t>【カスタム】
条件付き可能です。メール非保有の現場従業員向けのQRコード/従業員ID+PIN方式のログインについては、カスタム開発または設定が必要となります。詳細は要相談です。
参照：limitations_kb.md</t>
        </is>
      </c>
    </row>
    <row r="19" ht="80" customHeight="1" s="47">
      <c r="B19" s="21" t="inlineStr">
        <is>
          <t>FR-MB-05</t>
        </is>
      </c>
      <c r="C19" s="22" t="inlineStr">
        <is>
          <t>生体認証</t>
        </is>
      </c>
      <c r="D19" s="22" t="inlineStr">
        <is>
          <t>FaceID/指紋認証でアプリログイン。強制認証ポリシーを管理者から設定可能。</t>
        </is>
      </c>
      <c r="E19" s="25" t="inlineStr">
        <is>
          <t>S</t>
        </is>
      </c>
      <c r="F19" s="24" t="inlineStr">
        <is>
          <t>標準</t>
        </is>
      </c>
      <c r="G19" s="61" t="inlineStr">
        <is>
          <t>【標準】
可能です。FaceID/指紋認証によるアプリログインが可能です。管理者からの強制認証ポリシー設定も対応しています。
参照：https://support.staffbase.com/hc/ja/articles/26179190296082</t>
        </is>
      </c>
    </row>
    <row r="20" ht="16.5" customHeight="1" s="47">
      <c r="B20" s="20" t="inlineStr">
        <is>
          <t>2.3 多言語対応</t>
        </is>
      </c>
    </row>
    <row r="21" ht="80" customHeight="1" s="47">
      <c r="B21" s="21" t="inlineStr">
        <is>
          <t>FR-LN-01</t>
        </is>
      </c>
      <c r="C21" s="22" t="inlineStr">
        <is>
          <t>必須3言語</t>
        </is>
      </c>
      <c r="D21" s="22" t="inlineStr">
        <is>
          <t>日本語・英語・中国語(簡体字)を初期リリース必須。UI及びコンテンツ双方対応。</t>
        </is>
      </c>
      <c r="E21" s="23" t="inlineStr">
        <is>
          <t>M</t>
        </is>
      </c>
      <c r="F21" s="24" t="inlineStr">
        <is>
          <t>標準</t>
        </is>
      </c>
      <c r="G21" s="61" t="inlineStr">
        <is>
          <t>【標準】
可能です。日本語・英語・中国語（簡体字）を含む多言語対応を標準提供しています。UIおよびコンテンツ双方に対応しています。
参照：https://support.staffbase.com/hc/ja/articles/25488386130450</t>
        </is>
      </c>
    </row>
    <row r="22" ht="80" customHeight="1" s="47">
      <c r="B22" s="21" t="inlineStr">
        <is>
          <t>FR-LN-02</t>
        </is>
      </c>
      <c r="C22" s="22" t="inlineStr">
        <is>
          <t>拡張言語</t>
        </is>
      </c>
      <c r="D22" s="22" t="inlineStr">
        <is>
          <t>タイ・ベトナム・ポルトガル(BR)・スペイン・ドイツ・韓国・インドネシアを追加対応(最大10言語)。</t>
        </is>
      </c>
      <c r="E22" s="23" t="inlineStr">
        <is>
          <t>M</t>
        </is>
      </c>
      <c r="F22" s="24" t="inlineStr">
        <is>
          <t>標準</t>
        </is>
      </c>
      <c r="G22" s="61" t="inlineStr">
        <is>
          <t>【標準】
可能です。タイ・ベトナム・ポルトガル（BR）・スペイン・ドイツ・韓国・インドネシア等の追加言語に対応しています。最大10言語の対応が可能です。
参照：https://support.staffbase.com/hc/ja/articles/25488386130450</t>
        </is>
      </c>
    </row>
    <row r="23" ht="80" customHeight="1" s="47">
      <c r="B23" s="21" t="inlineStr">
        <is>
          <t>FR-LN-03</t>
        </is>
      </c>
      <c r="C23" s="22" t="inlineStr">
        <is>
          <t>自動機械翻訳</t>
        </is>
      </c>
      <c r="D23" s="22" t="inlineStr">
        <is>
          <t>DeepL/Google/Azure Translator相当の自動翻訳が利用可能。人手レビュー併用可。</t>
        </is>
      </c>
      <c r="E23" s="23" t="inlineStr">
        <is>
          <t>M</t>
        </is>
      </c>
      <c r="F23" s="24" t="inlineStr">
        <is>
          <t>標準</t>
        </is>
      </c>
      <c r="G23" s="61" t="inlineStr">
        <is>
          <t>【標準】
可能です。自動機械翻訳機能を標準提供しています。DeepL/Google/Azure Translator相当の翻訳品質については要確認ですが、AI翻訳機能が提供されています。
参照：https://support.staffbase.com/hc/ja/articles/29517799785234</t>
        </is>
      </c>
    </row>
    <row r="24" ht="80" customHeight="1" s="47">
      <c r="B24" s="21" t="inlineStr">
        <is>
          <t>FR-LN-04</t>
        </is>
      </c>
      <c r="C24" s="22" t="inlineStr">
        <is>
          <t>ユーザー言語自動切替</t>
        </is>
      </c>
      <c r="D24" s="22" t="inlineStr">
        <is>
          <t>プロファイル設定言語に基づきUI/コンテンツ自動切替。未設定時はブラウザ言語準拠。</t>
        </is>
      </c>
      <c r="E24" s="23" t="inlineStr">
        <is>
          <t>M</t>
        </is>
      </c>
      <c r="F24" s="24" t="inlineStr">
        <is>
          <t>標準</t>
        </is>
      </c>
      <c r="G24" s="61" t="inlineStr">
        <is>
          <t>【標準】
可能です。プロファイル設定言語に基づくUI/コンテンツの自動切替が可能です。未設定時のブラウザ言語準拠についても対応しています。
参照：https://support.staffbase.com/hc/ja/articles/115002379931</t>
        </is>
      </c>
    </row>
    <row r="25" ht="80" customHeight="1" s="47">
      <c r="B25" s="21" t="inlineStr">
        <is>
          <t>FR-LN-05</t>
        </is>
      </c>
      <c r="C25" s="22" t="inlineStr">
        <is>
          <t>拠点別コンテンツ版</t>
        </is>
      </c>
      <c r="D25" s="22" t="inlineStr">
        <is>
          <t>同一記事の言語別バージョンを保持し、編集・承認・公開を独立管理可能。</t>
        </is>
      </c>
      <c r="E25" s="25" t="inlineStr">
        <is>
          <t>S</t>
        </is>
      </c>
      <c r="F25" s="24" t="inlineStr">
        <is>
          <t>標準</t>
        </is>
      </c>
      <c r="G25" s="61" t="inlineStr">
        <is>
          <t>【標準】
可能です。同一記事の言語別バージョンを保持し、独立した編集・承認・公開管理が可能です。
参照：https://support.staffbase.com/hc/ja/articles/25485834999954</t>
        </is>
      </c>
    </row>
    <row r="26" ht="16.5" customHeight="1" s="47">
      <c r="B26" s="20" t="inlineStr">
        <is>
          <t>2.4 コンテンツ配信・ターゲティング</t>
        </is>
      </c>
    </row>
    <row r="27" ht="80" customHeight="1" s="47">
      <c r="B27" s="21" t="inlineStr">
        <is>
          <t>FR-TG-01</t>
        </is>
      </c>
      <c r="C27" s="22" t="inlineStr">
        <is>
          <t>属性ターゲティング</t>
        </is>
      </c>
      <c r="D27" s="22" t="inlineStr">
        <is>
          <t>拠点・部門・職種・雇用形態・言語・勤務形態に基づき配信対象を絞り込み可能。</t>
        </is>
      </c>
      <c r="E27" s="23" t="inlineStr">
        <is>
          <t>M</t>
        </is>
      </c>
      <c r="F27" s="24" t="inlineStr">
        <is>
          <t>標準</t>
        </is>
      </c>
      <c r="G27" s="61" t="inlineStr">
        <is>
          <t>【標準】
可能です。拠点・部門・職種・雇用形態・言語・勤務形態に基づく属性ターゲティングが標準機能として提供されています。
参照：https://support.staffbase.com/hc/ja/articles/25482759050898</t>
        </is>
      </c>
    </row>
    <row r="28" ht="80" customHeight="1" s="47">
      <c r="B28" s="21" t="inlineStr">
        <is>
          <t>FR-TG-02</t>
        </is>
      </c>
      <c r="C28" s="22" t="inlineStr">
        <is>
          <t>動的セグメント</t>
        </is>
      </c>
      <c r="D28" s="22" t="inlineStr">
        <is>
          <t>HRシステム連携データに基づき、異動・昇格時にセグメントが自動更新される。</t>
        </is>
      </c>
      <c r="E28" s="23" t="inlineStr">
        <is>
          <t>M</t>
        </is>
      </c>
      <c r="F28" s="24" t="inlineStr">
        <is>
          <t>標準</t>
        </is>
      </c>
      <c r="G28" s="61" t="inlineStr">
        <is>
          <t>【標準】
可能です。HRシステム連携データに基づく動的セグメントが提供されており、異動・昇格時の自動更新に対応しています。
参照：https://support.staffbase.com/hc/ja/articles/27823889873042</t>
        </is>
      </c>
    </row>
    <row r="29" ht="80" customHeight="1" s="47">
      <c r="B29" s="21" t="inlineStr">
        <is>
          <t>FR-TG-03</t>
        </is>
      </c>
      <c r="C29" s="22" t="inlineStr">
        <is>
          <t>必読管理</t>
        </is>
      </c>
      <c r="D29" s="22" t="inlineStr">
        <is>
          <t>対象者への既読登録・未読リマインド・既読率レポート機能。コンプラ研修配信用途想定。</t>
        </is>
      </c>
      <c r="E29" s="23" t="inlineStr">
        <is>
          <t>M</t>
        </is>
      </c>
      <c r="F29" s="24" t="inlineStr">
        <is>
          <t>標準</t>
        </is>
      </c>
      <c r="G29" s="61" t="inlineStr">
        <is>
          <t>【標準】
可能です。必読管理（既読登録・未読リマインド・既読率レポート）機能を標準提供しています。
参照：https://support.staffbase.com/hc/ja/articles/360011604919</t>
        </is>
      </c>
    </row>
    <row r="30" ht="80" customHeight="1" s="47">
      <c r="B30" s="21" t="inlineStr">
        <is>
          <t>FR-TG-04</t>
        </is>
      </c>
      <c r="C30" s="22" t="inlineStr">
        <is>
          <t>予約配信</t>
        </is>
      </c>
      <c r="D30" s="22" t="inlineStr">
        <is>
          <t>将来日時予約配信、タイムゾーン別最適配信時刻(拠点ローカルタイム)対応。</t>
        </is>
      </c>
      <c r="E30" s="25" t="inlineStr">
        <is>
          <t>S</t>
        </is>
      </c>
      <c r="F30" s="24" t="inlineStr">
        <is>
          <t>標準</t>
        </is>
      </c>
      <c r="G30" s="61" t="inlineStr">
        <is>
          <t>【標準】
可能です。将来日時の予約配信が可能です。タイムゾーン別最適配信時刻（拠点ローカルタイム）対応については要確認（公式資料未記載）です。
参照：https://support.staffbase.com/hc/ja/articles/28275392980370</t>
        </is>
      </c>
    </row>
    <row r="31" ht="80" customHeight="1" s="47">
      <c r="B31" s="21" t="inlineStr">
        <is>
          <t>FR-TG-05</t>
        </is>
      </c>
      <c r="C31" s="22" t="inlineStr">
        <is>
          <t>クライシス通信</t>
        </is>
      </c>
      <c r="D31" s="22" t="inlineStr">
        <is>
          <t>地震・サイバー攻撃等の有事に専用テンプレで即時配信し、安否確認データ取得可能。</t>
        </is>
      </c>
      <c r="E31" s="25" t="inlineStr">
        <is>
          <t>S</t>
        </is>
      </c>
      <c r="F31" s="27" t="inlineStr">
        <is>
          <t>カスタム</t>
        </is>
      </c>
      <c r="G31" s="63" t="inlineStr">
        <is>
          <t>【カスタム】
条件付き可能です。緊急通知機能は標準提供されていますが、専用クライシステンプレートや安否確認データ取得については、カスタム開発または設定が必要となります。詳細は要相談です。
参照：limitations_kb.md</t>
        </is>
      </c>
    </row>
    <row r="32" ht="16.5" customHeight="1" s="47">
      <c r="B32" s="20" t="inlineStr">
        <is>
          <t>2.5 分析ダッシュボード</t>
        </is>
      </c>
    </row>
    <row r="33" ht="80" customHeight="1" s="47">
      <c r="B33" s="21" t="inlineStr">
        <is>
          <t>FR-AN-01</t>
        </is>
      </c>
      <c r="C33" s="22" t="inlineStr">
        <is>
          <t>標準ダッシュボード</t>
        </is>
      </c>
      <c r="D33" s="22" t="inlineStr">
        <is>
          <t>記事別・チャネル別・セグメント別の閲覧・到達・反応・既読率を可視化。</t>
        </is>
      </c>
      <c r="E33" s="23" t="inlineStr">
        <is>
          <t>M</t>
        </is>
      </c>
      <c r="F33" s="24" t="inlineStr">
        <is>
          <t>標準</t>
        </is>
      </c>
      <c r="G33" s="61" t="inlineStr">
        <is>
          <t>【標準】
可能です。分析ダッシュボードにより、記事別・チャネル別・セグメント別の閲覧・到達・反応・既読率の可視化が標準機能として提供されています。
参照：https://support.staffbase.com/hc/ja/articles/360013327939</t>
        </is>
      </c>
    </row>
    <row r="34" ht="80" customHeight="1" s="47">
      <c r="B34" s="21" t="inlineStr">
        <is>
          <t>FR-AN-02</t>
        </is>
      </c>
      <c r="C34" s="22" t="inlineStr">
        <is>
          <t>エンゲージメントKPI</t>
        </is>
      </c>
      <c r="D34" s="22" t="inlineStr">
        <is>
          <t>DAU/MAU/投稿数/コメント数/反応率/検索ヒット率の時系列・期間比較表示。</t>
        </is>
      </c>
      <c r="E34" s="23" t="inlineStr">
        <is>
          <t>M</t>
        </is>
      </c>
      <c r="F34" s="24" t="inlineStr">
        <is>
          <t>標準</t>
        </is>
      </c>
      <c r="G34" s="61" t="inlineStr">
        <is>
          <t>【標準】
可能です。DAU/MAU・投稿数・コメント数・反応率等のエンゲージメントKPIの時系列・期間比較表示が可能です。
参照：https://support.staffbase.com/hc/ja/articles/360013327939</t>
        </is>
      </c>
    </row>
    <row r="35" ht="80" customHeight="1" s="47">
      <c r="B35" s="21" t="inlineStr">
        <is>
          <t>FR-AN-03</t>
        </is>
      </c>
      <c r="C35" s="22" t="inlineStr">
        <is>
          <t>BIツール連携</t>
        </is>
      </c>
      <c r="D35" s="22" t="inlineStr">
        <is>
          <t>ローデータをCSV/JSON/API経由で取得し、Power BI/Tableau等に連携可能。</t>
        </is>
      </c>
      <c r="E35" s="23" t="inlineStr">
        <is>
          <t>M</t>
        </is>
      </c>
      <c r="F35" s="24" t="inlineStr">
        <is>
          <t>標準</t>
        </is>
      </c>
      <c r="G35" s="61" t="inlineStr">
        <is>
          <t>【標準】
可能です。分析データのCSVエクスポートが可能です。JSON/API経由でのローデータ取得についても対応しており、Power BI/Tableau等への連携が可能です。
参照：https://support.staffbase.com/hc/ja/articles/360013327939</t>
        </is>
      </c>
    </row>
    <row r="36" ht="80" customHeight="1" s="47">
      <c r="B36" s="21" t="inlineStr">
        <is>
          <t>FR-AN-04</t>
        </is>
      </c>
      <c r="C36" s="22" t="inlineStr">
        <is>
          <t>パルスサーベイ</t>
        </is>
      </c>
      <c r="D36" s="22" t="inlineStr">
        <is>
          <t>短時間アンケート(eNPS、職場環境)の作成・配信・結果分析を一気通貫で実施。</t>
        </is>
      </c>
      <c r="E36" s="23" t="inlineStr">
        <is>
          <t>M</t>
        </is>
      </c>
      <c r="F36" s="24" t="inlineStr">
        <is>
          <t>標準</t>
        </is>
      </c>
      <c r="G36" s="61" t="inlineStr">
        <is>
          <t>【標準】
可能です。パルスサーベイ（eNPS・職場環境等）の作成・配信・結果分析を一気通貫で実施できます。
参照：https://support.staffbase.com/hc/ja/articles/14224399832722</t>
        </is>
      </c>
    </row>
    <row r="37" ht="80" customHeight="1" s="47">
      <c r="B37" s="21" t="inlineStr">
        <is>
          <t>FR-AN-05</t>
        </is>
      </c>
      <c r="C37" s="22" t="inlineStr">
        <is>
          <t>AI示唆機能</t>
        </is>
      </c>
      <c r="D37" s="22" t="inlineStr">
        <is>
          <t>閲覧傾向・離脱パターンから改善提案・最適配信時刻をAIが提示。</t>
        </is>
      </c>
      <c r="E37" s="28" t="inlineStr">
        <is>
          <t>C</t>
        </is>
      </c>
      <c r="F37" s="26" t="inlineStr">
        <is>
          <t>要相談</t>
        </is>
      </c>
      <c r="G37" s="62" t="inlineStr">
        <is>
          <t>【要相談】
条件付き可能です。AI示唆機能（Smart Impact等）により閲覧傾向の分析が可能ですが、離脱パターンからの改善提案・最適配信時刻提示については要確認（公式資料未記載）です。
参照：https://support.staffbase.com/hc/ja/articles/29517799785234, limitations_kb.md</t>
        </is>
      </c>
    </row>
  </sheetData>
  <mergeCells count="7">
    <mergeCell ref="B6:F6"/>
    <mergeCell ref="B20:F20"/>
    <mergeCell ref="A1:F1"/>
    <mergeCell ref="B3:F3"/>
    <mergeCell ref="B14:F14"/>
    <mergeCell ref="B32:F32"/>
    <mergeCell ref="B26:F26"/>
  </mergeCells>
  <pageMargins left="0.7" right="0.7" top="0.75" bottom="0.75" header="0.3" footer="0.3"/>
  <pageSetup orientation="portrait" paperSize="1"/>
  <headerFooter>
    <oddHeader>&amp;L&amp;C&amp;R</oddHeader>
    <oddFooter>&amp;L&amp;C&amp;R</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F24"/>
  <sheetViews>
    <sheetView topLeftCell="A1" workbookViewId="0">
      <selection activeCell="A1" sqref="A1:E1"/>
    </sheetView>
  </sheetViews>
  <sheetFormatPr baseColWidth="8" defaultColWidth="8.8515625" defaultRowHeight="15" customHeight="1"/>
  <cols>
    <col width="2.8515625" customWidth="1" style="47" min="1" max="1"/>
    <col width="14.28125" customWidth="1" style="47" min="2" max="2"/>
    <col width="28.57421875" customWidth="1" style="47" min="3" max="3"/>
    <col width="74.28125" customWidth="1" style="47" min="4" max="4"/>
    <col width="12.8515625" customWidth="1" style="47" min="5" max="5"/>
    <col width="65" customWidth="1" style="47" min="6" max="6"/>
  </cols>
  <sheetData>
    <row r="1" ht="21" customHeight="1" s="47">
      <c r="A1" s="17" t="inlineStr">
        <is>
          <t>第3章 非機能要件</t>
        </is>
      </c>
    </row>
    <row r="2"/>
    <row r="3" ht="21" customHeight="1" s="47">
      <c r="B3" s="19" t="inlineStr">
        <is>
          <t>要件ID</t>
        </is>
      </c>
      <c r="C3" s="19" t="inlineStr">
        <is>
          <t>カテゴリ</t>
        </is>
      </c>
      <c r="D3" s="19" t="inlineStr">
        <is>
          <t>要件詳細</t>
        </is>
      </c>
      <c r="E3" s="19" t="inlineStr">
        <is>
          <t>優先度</t>
        </is>
      </c>
      <c r="F3" s="60" t="inlineStr">
        <is>
          <t>Staffbase回答</t>
        </is>
      </c>
    </row>
    <row r="4" ht="16.5" customHeight="1" s="47">
      <c r="B4" s="20" t="inlineStr">
        <is>
          <t>3.1 可用性・SLA</t>
        </is>
      </c>
    </row>
    <row r="5" ht="80" customHeight="1" s="47">
      <c r="B5" s="21" t="inlineStr">
        <is>
          <t>NFR-AV-01</t>
        </is>
      </c>
      <c r="C5" s="22" t="inlineStr">
        <is>
          <t>SLA</t>
        </is>
      </c>
      <c r="D5" s="22" t="inlineStr">
        <is>
          <t>サービス稼働率 99.9%以上(計画停止除く)を保証し、月次稼働率レポートを提出すること。</t>
        </is>
      </c>
      <c r="E5" s="23" t="inlineStr">
        <is>
          <t>M</t>
        </is>
      </c>
      <c r="F5" s="61" t="inlineStr">
        <is>
          <t>【対応可】
可能です。Staffbaseは99.9%以上のSLAを保証しており、月次稼働率レポートの提供が可能です。
参照：ops_kb.md</t>
        </is>
      </c>
    </row>
    <row r="6" ht="80" customHeight="1" s="47">
      <c r="B6" s="21" t="inlineStr">
        <is>
          <t>NFR-AV-02</t>
        </is>
      </c>
      <c r="C6" s="22" t="inlineStr">
        <is>
          <t>RTO/RPO</t>
        </is>
      </c>
      <c r="D6" s="22" t="inlineStr">
        <is>
          <t>障害発生時のRTO 4時間以内、RPO 1時間以内を達成すること。</t>
        </is>
      </c>
      <c r="E6" s="23" t="inlineStr">
        <is>
          <t>M</t>
        </is>
      </c>
      <c r="F6" s="61" t="inlineStr">
        <is>
          <t>【対応可】
可能です。RTO 4時間以内・RPO 1時間以内の目標値を設定しています。詳細はSLA文書にて確認いただけます。
参照：ops_kb.md</t>
        </is>
      </c>
    </row>
    <row r="7" ht="80" customHeight="1" s="47">
      <c r="B7" s="21" t="inlineStr">
        <is>
          <t>NFR-AV-03</t>
        </is>
      </c>
      <c r="C7" s="22" t="inlineStr">
        <is>
          <t>災害復旧</t>
        </is>
      </c>
      <c r="D7" s="22" t="inlineStr">
        <is>
          <t>リージョン障害時にDRサイトでの業務継続を可能とし、年次DR訓練に協力すること。</t>
        </is>
      </c>
      <c r="E7" s="23" t="inlineStr">
        <is>
          <t>M</t>
        </is>
      </c>
      <c r="F7" s="61" t="inlineStr">
        <is>
          <t>【対応可】
可能です。地理的に分散したデータセンターによるDR構成を採用しています。年次DR訓練への協力については要相談です。
参照：ops_kb.md</t>
        </is>
      </c>
    </row>
    <row r="8" ht="80" customHeight="1" s="47">
      <c r="B8" s="21" t="inlineStr">
        <is>
          <t>NFR-AV-04</t>
        </is>
      </c>
      <c r="C8" s="22" t="inlineStr">
        <is>
          <t>計画停止通知</t>
        </is>
      </c>
      <c r="D8" s="22" t="inlineStr">
        <is>
          <t>計画メンテナンスは7日前までに通知し、JST営業時間外実施を原則とする。</t>
        </is>
      </c>
      <c r="E8" s="25" t="inlineStr">
        <is>
          <t>S</t>
        </is>
      </c>
      <c r="F8" s="61" t="inlineStr">
        <is>
          <t>【対応可】
可能です。計画メンテナンスは7日前までに通知し、JST営業時間外での実施を原則としています。
参照：ops_kb.md</t>
        </is>
      </c>
    </row>
    <row r="9" ht="16.5" customHeight="1" s="47">
      <c r="B9" s="20" t="inlineStr">
        <is>
          <t>3.2 セキュリティ</t>
        </is>
      </c>
    </row>
    <row r="10" ht="80" customHeight="1" s="47">
      <c r="B10" s="21" t="inlineStr">
        <is>
          <t>NFR-SE-01</t>
        </is>
      </c>
      <c r="C10" s="22" t="inlineStr">
        <is>
          <t>SSO</t>
        </is>
      </c>
      <c r="D10" s="22" t="inlineStr">
        <is>
          <t>SAML 2.0/OIDCに対応し、Microsoft Entra IDをIdPとするSSOを実装すること。</t>
        </is>
      </c>
      <c r="E10" s="23" t="inlineStr">
        <is>
          <t>M</t>
        </is>
      </c>
      <c r="F10" s="61" t="inlineStr">
        <is>
          <t>【対応可】
可能です。SAML 2.0/OIDCに対応しており、Microsoft Entra IDをIdPとするSSOの実装が可能です。
参照：https://support.staffbase.com/hc/ja/articles/4403677505938</t>
        </is>
      </c>
    </row>
    <row r="11" ht="80" customHeight="1" s="47">
      <c r="B11" s="21" t="inlineStr">
        <is>
          <t>NFR-SE-02</t>
        </is>
      </c>
      <c r="C11" s="22" t="inlineStr">
        <is>
          <t>MFA</t>
        </is>
      </c>
      <c r="D11" s="22" t="inlineStr">
        <is>
          <t>管理者・編集者に対し多要素認証を強制可能であること。</t>
        </is>
      </c>
      <c r="E11" s="23" t="inlineStr">
        <is>
          <t>M</t>
        </is>
      </c>
      <c r="F11" s="61" t="inlineStr">
        <is>
          <t>【対応可】
可能です。管理者・編集者に対する多要素認証（MFA）の強制設定が可能です。
参照：security_kb.md</t>
        </is>
      </c>
    </row>
    <row r="12" ht="80" customHeight="1" s="47">
      <c r="B12" s="21" t="inlineStr">
        <is>
          <t>NFR-SE-03</t>
        </is>
      </c>
      <c r="C12" s="22" t="inlineStr">
        <is>
          <t>RBAC</t>
        </is>
      </c>
      <c r="D12" s="22" t="inlineStr">
        <is>
          <t>閲覧者・編集者・承認者・管理者・グローバル管理者の5階層以上のロールベース権限制御。</t>
        </is>
      </c>
      <c r="E12" s="23" t="inlineStr">
        <is>
          <t>M</t>
        </is>
      </c>
      <c r="F12" s="61" t="inlineStr">
        <is>
          <t>【対応可】
可能です。閲覧者・編集者・承認者・管理者・グローバル管理者等の役割ベースアクセス制御（RBAC）を標準提供しています。
参照：https://support.staffbase.com/hc/ja/articles/208282825</t>
        </is>
      </c>
    </row>
    <row r="13" ht="80" customHeight="1" s="47">
      <c r="B13" s="21" t="inlineStr">
        <is>
          <t>NFR-SE-04</t>
        </is>
      </c>
      <c r="C13" s="22" t="inlineStr">
        <is>
          <t>暗号化(通信)</t>
        </is>
      </c>
      <c r="D13" s="22" t="inlineStr">
        <is>
          <t>通信経路はTLS 1.2以上で暗号化。TLS 1.0/1.1の無効化が可能であること。</t>
        </is>
      </c>
      <c r="E13" s="23" t="inlineStr">
        <is>
          <t>M</t>
        </is>
      </c>
      <c r="F13" s="61" t="inlineStr">
        <is>
          <t>【対応可】
可能です。通信経路はTLS 1.2以上で暗号化されています。TLS 1.0/1.1の無効化が可能です。
参照：security_kb.md</t>
        </is>
      </c>
    </row>
    <row r="14" ht="80" customHeight="1" s="47">
      <c r="B14" s="21" t="inlineStr">
        <is>
          <t>NFR-SE-05</t>
        </is>
      </c>
      <c r="C14" s="22" t="inlineStr">
        <is>
          <t>暗号化(保管)</t>
        </is>
      </c>
      <c r="D14" s="22" t="inlineStr">
        <is>
          <t>保管データはAES-256以上で暗号化。鍵管理にKMSまたはCMK利用が可能であること。</t>
        </is>
      </c>
      <c r="E14" s="23" t="inlineStr">
        <is>
          <t>M</t>
        </is>
      </c>
      <c r="F14" s="62" t="inlineStr">
        <is>
          <t>【条件付き】
条件付き可能です。保管データはAES-256で暗号化されています。ただし、顧客独自鍵管理（BYOK/CMK）については現時点では非対応です（要確認）。
参照：security_kb.md, limitations_kb.md</t>
        </is>
      </c>
    </row>
    <row r="15" ht="80" customHeight="1" s="47">
      <c r="B15" s="21" t="inlineStr">
        <is>
          <t>NFR-SE-06</t>
        </is>
      </c>
      <c r="C15" s="22" t="inlineStr">
        <is>
          <t>脆弱性診断</t>
        </is>
      </c>
      <c r="D15" s="22" t="inlineStr">
        <is>
          <t>年次でのペネトレーションテスト実施・第三者監査レポート(SOC2/ISO27001)提供。</t>
        </is>
      </c>
      <c r="E15" s="23" t="inlineStr">
        <is>
          <t>M</t>
        </is>
      </c>
      <c r="F15" s="61" t="inlineStr">
        <is>
          <t>【対応可】
可能です。年次ペネトレーションテストを実施しており、SOC 2 Type IIおよびISO 27001の第三者監査レポートを提供しています。
参照：isms_controls.md</t>
        </is>
      </c>
    </row>
    <row r="16" ht="16.5" customHeight="1" s="47">
      <c r="B16" s="20" t="inlineStr">
        <is>
          <t>3.3 パフォーマンス</t>
        </is>
      </c>
    </row>
    <row r="17" ht="80" customHeight="1" s="47">
      <c r="B17" s="21" t="inlineStr">
        <is>
          <t>NFR-PF-01</t>
        </is>
      </c>
      <c r="C17" s="22" t="inlineStr">
        <is>
          <t>応答時間</t>
        </is>
      </c>
      <c r="D17" s="22" t="inlineStr">
        <is>
          <t>ホーム画面ロード時間は95パーセンタイルで2秒以内(国内拠点)・3秒以内(海外拠点)とする。</t>
        </is>
      </c>
      <c r="E17" s="23" t="inlineStr">
        <is>
          <t>M</t>
        </is>
      </c>
      <c r="F17" s="61" t="inlineStr">
        <is>
          <t>【対応可】
可能です。グローバルCDNを活用し、国内拠点2秒以内・海外拠点3秒以内のページロードを実現しています。
参照：https://support.staffbase.com/hc/ja/articles/25488156675986</t>
        </is>
      </c>
    </row>
    <row r="18" ht="80" customHeight="1" s="47">
      <c r="B18" s="21" t="inlineStr">
        <is>
          <t>NFR-PF-02</t>
        </is>
      </c>
      <c r="C18" s="22" t="inlineStr">
        <is>
          <t>同時接続</t>
        </is>
      </c>
      <c r="D18" s="22" t="inlineStr">
        <is>
          <t>ピーク時25,000ユーザーの同時接続、5,000ユーザーの同時動画視聴に耐えること。</t>
        </is>
      </c>
      <c r="E18" s="23" t="inlineStr">
        <is>
          <t>M</t>
        </is>
      </c>
      <c r="F18" s="61" t="inlineStr">
        <is>
          <t>【対応可】
可能です。25,000ユーザーの同時接続に対応したスケーラブルなインフラを提供しています。5,000ユーザーの同時動画視聴については要確認（公式資料未記載）です。
参照：https://support.staffbase.com/hc/ja/articles/25488156675986</t>
        </is>
      </c>
    </row>
    <row r="19" ht="80" customHeight="1" s="47">
      <c r="B19" s="21" t="inlineStr">
        <is>
          <t>NFR-PF-03</t>
        </is>
      </c>
      <c r="C19" s="22" t="inlineStr">
        <is>
          <t>通知配信</t>
        </is>
      </c>
      <c r="D19" s="22" t="inlineStr">
        <is>
          <t>全社25,000名へのプッシュ通知が10分以内に完了すること。</t>
        </is>
      </c>
      <c r="E19" s="23" t="inlineStr">
        <is>
          <t>M</t>
        </is>
      </c>
      <c r="F19" s="62" t="inlineStr">
        <is>
          <t>【条件付き】
条件付き可能です。全社25,000名へのプッシュ通知配信については、10分以内の完了を目標としていますが、ネットワーク環境・デバイス状況により異なります。詳細は要相談です。
参照：ops_kb.md</t>
        </is>
      </c>
    </row>
    <row r="20" ht="16.5" customHeight="1" s="47">
      <c r="B20" s="20" t="inlineStr">
        <is>
          <t>3.4 スケーラビリティ・運用基盤</t>
        </is>
      </c>
    </row>
    <row r="21" ht="80" customHeight="1" s="47">
      <c r="B21" s="21" t="inlineStr">
        <is>
          <t>NFR-SC-01</t>
        </is>
      </c>
      <c r="C21" s="22" t="inlineStr">
        <is>
          <t>ユーザー拡張</t>
        </is>
      </c>
      <c r="D21" s="22" t="inlineStr">
        <is>
          <t>将来的に40,000名規模(M&amp;A・グループ展開)まで追加コストを線形に抑えてスケール可能。</t>
        </is>
      </c>
      <c r="E21" s="25" t="inlineStr">
        <is>
          <t>S</t>
        </is>
      </c>
      <c r="F21" s="61" t="inlineStr">
        <is>
          <t>【対応可】
可能です。クラウドネイティブアーキテクチャにより、40,000名規模までの拡張が可能です。追加コストの線形性については要相談です。
参照：https://support.staffbase.com/hc/ja/articles/25488156675986</t>
        </is>
      </c>
    </row>
    <row r="22" ht="80" customHeight="1" s="47">
      <c r="B22" s="21" t="inlineStr">
        <is>
          <t>NFR-SC-02</t>
        </is>
      </c>
      <c r="C22" s="22" t="inlineStr">
        <is>
          <t>データ容量</t>
        </is>
      </c>
      <c r="D22" s="22" t="inlineStr">
        <is>
          <t>添付ファイル・動画ストレージは標準10TB以上を提供し、超過時の従量課金条件を明示すること。</t>
        </is>
      </c>
      <c r="E22" s="23" t="inlineStr">
        <is>
          <t>M</t>
        </is>
      </c>
      <c r="F22" s="62" t="inlineStr">
        <is>
          <t>【条件付き】
条件付き可能です。ストレージ容量は契約プランにより異なります。標準10TB以上の提供と超過時の従量課金条件については、提案書（別紙価格表）にて明示いたします。
参照：limitations_kb.md</t>
        </is>
      </c>
    </row>
    <row r="23" ht="80" customHeight="1" s="47">
      <c r="B23" s="21" t="inlineStr">
        <is>
          <t>NFR-SC-03</t>
        </is>
      </c>
      <c r="C23" s="22" t="inlineStr">
        <is>
          <t>API流量</t>
        </is>
      </c>
      <c r="D23" s="22" t="inlineStr">
        <is>
          <t>REST/GraphQL APIのレート上限を明示し、必要に応じバースト時の引上げ交渉が可能であること。</t>
        </is>
      </c>
      <c r="E23" s="25" t="inlineStr">
        <is>
          <t>S</t>
        </is>
      </c>
      <c r="F23" s="62" t="inlineStr">
        <is>
          <t>【条件付き】
条件付き可能です。REST APIのレート上限は設定されており、バースト時の引上げ交渉については要相談です。GraphQL APIの提供については要確認（公式資料未記載）です。
参照：https://support.staffbase.com/hc/ja/articles/25487807954322</t>
        </is>
      </c>
    </row>
    <row r="24" ht="80" customHeight="1" s="47">
      <c r="B24" s="21" t="inlineStr">
        <is>
          <t>NFR-SC-04</t>
        </is>
      </c>
      <c r="C24" s="22" t="inlineStr">
        <is>
          <t>ブラウザ対応</t>
        </is>
      </c>
      <c r="D24" s="22" t="inlineStr">
        <is>
          <t>Chrome/Edge/Safari/Firefoxの直近2メジャーバージョンに対応すること。</t>
        </is>
      </c>
      <c r="E24" s="23" t="inlineStr">
        <is>
          <t>M</t>
        </is>
      </c>
      <c r="F24" s="61" t="inlineStr">
        <is>
          <t>【対応可】
可能です。Chrome/Edge/Safari/Firefoxの直近2メジャーバージョンに対応しています。
参照：https://support.staffbase.com/hc/ja/articles/4412022029458</t>
        </is>
      </c>
    </row>
  </sheetData>
  <mergeCells count="5">
    <mergeCell ref="B9:E9"/>
    <mergeCell ref="B4:E4"/>
    <mergeCell ref="B16:E16"/>
    <mergeCell ref="A1:E1"/>
    <mergeCell ref="B20:E20"/>
  </mergeCells>
  <pageMargins left="0.7" right="0.7" top="0.75" bottom="0.75" header="0.3" footer="0.3"/>
  <pageSetup orientation="portrait" paperSize="1"/>
  <headerFooter>
    <oddHeader>&amp;L&amp;C&amp;R</oddHeader>
    <oddFooter>&amp;L&amp;C&amp;R</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F25"/>
  <sheetViews>
    <sheetView topLeftCell="A1" workbookViewId="0">
      <selection activeCell="A1" sqref="A1:E1"/>
    </sheetView>
  </sheetViews>
  <sheetFormatPr baseColWidth="8" defaultColWidth="8.8515625" defaultRowHeight="15" customHeight="1"/>
  <cols>
    <col width="2.8515625" customWidth="1" style="47" min="1" max="1"/>
    <col width="14.28125" customWidth="1" style="47" min="2" max="2"/>
    <col width="31.421875" customWidth="1" style="47" min="3" max="3"/>
    <col width="74.28125" customWidth="1" style="47" min="4" max="4"/>
    <col width="14.28125" customWidth="1" style="47" min="5" max="5"/>
    <col width="65" customWidth="1" style="47" min="6" max="6"/>
  </cols>
  <sheetData>
    <row r="1" ht="21" customHeight="1" s="47">
      <c r="A1" s="17" t="inlineStr">
        <is>
          <t>第4章 既存システム連携要件</t>
        </is>
      </c>
    </row>
    <row r="2"/>
    <row r="3" ht="16.5" customHeight="1" s="47">
      <c r="B3" s="18" t="inlineStr">
        <is>
          <t>当社既存ITランドスケープとの統合要件を定義する。連携方式・必要なAPI/コネクタの提供有無を明示すること。</t>
        </is>
      </c>
      <c r="C3" s="58" t="n"/>
      <c r="D3" s="58" t="n"/>
      <c r="E3" s="59" t="n"/>
    </row>
    <row r="4" ht="21" customHeight="1" s="47">
      <c r="B4" s="19" t="inlineStr">
        <is>
          <t>要件ID</t>
        </is>
      </c>
      <c r="C4" s="19" t="inlineStr">
        <is>
          <t>対象システム</t>
        </is>
      </c>
      <c r="D4" s="19" t="inlineStr">
        <is>
          <t>要件詳細</t>
        </is>
      </c>
      <c r="E4" s="19" t="inlineStr">
        <is>
          <t>優先度</t>
        </is>
      </c>
      <c r="F4" s="60" t="inlineStr">
        <is>
          <t>Staffbase回答</t>
        </is>
      </c>
    </row>
    <row r="5" ht="16.5" customHeight="1" s="47">
      <c r="B5" s="20" t="inlineStr">
        <is>
          <t>4.1 Microsoft 365連携</t>
        </is>
      </c>
    </row>
    <row r="6" ht="80" customHeight="1" s="47">
      <c r="B6" s="21" t="inlineStr">
        <is>
          <t>INT-M365-01</t>
        </is>
      </c>
      <c r="C6" s="22" t="inlineStr">
        <is>
          <t>SharePoint Online</t>
        </is>
      </c>
      <c r="D6" s="22" t="inlineStr">
        <is>
          <t>SharePointドキュメントライブラリの記事埋込・リンクプレビュー表示が可能であること。</t>
        </is>
      </c>
      <c r="E6" s="23" t="inlineStr">
        <is>
          <t>M</t>
        </is>
      </c>
      <c r="F6" s="61" t="inlineStr">
        <is>
          <t>【標準】
可能です。Microsoft 365コネクション経由でSharePointドキュメントライブラリの記事埋込・リンクプレビュー表示が可能です。
参照：https://support.staffbase.com/hc/ja/articles/4403677505938</t>
        </is>
      </c>
    </row>
    <row r="7" ht="80" customHeight="1" s="47">
      <c r="B7" s="21" t="inlineStr">
        <is>
          <t>INT-M365-02</t>
        </is>
      </c>
      <c r="C7" s="22" t="inlineStr">
        <is>
          <t>OneDrive</t>
        </is>
      </c>
      <c r="D7" s="22" t="inlineStr">
        <is>
          <t>個人OneDriveファイルを記事に添付・参照可能。アクセス権はM365側に従うこと。</t>
        </is>
      </c>
      <c r="E7" s="25" t="inlineStr">
        <is>
          <t>S</t>
        </is>
      </c>
      <c r="F7" s="61" t="inlineStr">
        <is>
          <t>【標準】
条件付き可能です。OneDriveファイルの記事への添付・参照については、Microsoft 365コネクション経由で対応可能です。アクセス権はM365側に従います。
参照：https://support.staffbase.com/hc/ja/articles/4403677505938</t>
        </is>
      </c>
    </row>
    <row r="8" ht="80" customHeight="1" s="47">
      <c r="B8" s="21" t="inlineStr">
        <is>
          <t>INT-M365-03</t>
        </is>
      </c>
      <c r="C8" s="22" t="inlineStr">
        <is>
          <t>Outlook</t>
        </is>
      </c>
      <c r="D8" s="22" t="inlineStr">
        <is>
          <t>重要記事をOutlookメールに自動配信(ダイジェスト機能)できること。</t>
        </is>
      </c>
      <c r="E8" s="25" t="inlineStr">
        <is>
          <t>S</t>
        </is>
      </c>
      <c r="F8" s="62" t="inlineStr">
        <is>
          <t>【条件付き】
条件付き可能です。Staffbaseメール機能により重要記事のメール配信が可能ですが、Outlookへの直接ダイジェスト自動配信については要確認（公式資料未記載）です。
参照：limitations_kb.md</t>
        </is>
      </c>
    </row>
    <row r="9" ht="80" customHeight="1" s="47">
      <c r="B9" s="21" t="inlineStr">
        <is>
          <t>INT-M365-04</t>
        </is>
      </c>
      <c r="C9" s="22" t="inlineStr">
        <is>
          <t>Viva Connections</t>
        </is>
      </c>
      <c r="D9" s="22" t="inlineStr">
        <is>
          <t>Microsoft Viva Connectionsアプリへの埋込み(Teams内表示)が可能であること。</t>
        </is>
      </c>
      <c r="E9" s="25" t="inlineStr">
        <is>
          <t>S</t>
        </is>
      </c>
      <c r="F9" s="63" t="inlineStr">
        <is>
          <t>【標準（ベータ）】
条件付き可能です。Viva ConnectionsのダッシュボードにStaffbase Newsを表示できます（現在ベータ版）。Teams内でのStaffbaseプラットフォーム表示も可能です。
参照：https://support.staffbase.com/hc/ja/articles/12226942157458, https://support.staffbase.com/hc/ja/articles/19238145200018</t>
        </is>
      </c>
    </row>
    <row r="10" ht="16.5" customHeight="1" s="47">
      <c r="B10" s="20" t="inlineStr">
        <is>
          <t>4.2 Active Directory / Microsoft Entra ID</t>
        </is>
      </c>
    </row>
    <row r="11" ht="80" customHeight="1" s="47">
      <c r="B11" s="21" t="inlineStr">
        <is>
          <t>INT-AD-01</t>
        </is>
      </c>
      <c r="C11" s="22" t="inlineStr">
        <is>
          <t>SCIM2.0</t>
        </is>
      </c>
      <c r="D11" s="22" t="inlineStr">
        <is>
          <t>ユーザー・グループのプロビジョニング/デプロビジョニングをSCIM 2.0で自動化できること。</t>
        </is>
      </c>
      <c r="E11" s="23" t="inlineStr">
        <is>
          <t>M</t>
        </is>
      </c>
      <c r="F11" s="61" t="inlineStr">
        <is>
          <t>【標準】
可能です。SCIM 2.0によるユーザー・グループのプロビジョニング/デプロビジョニングの自動化が標準機能として提供されています。
参照：https://support.staffbase.com/hc/ja/articles/4402308118546</t>
        </is>
      </c>
    </row>
    <row r="12" ht="80" customHeight="1" s="47">
      <c r="B12" s="21" t="inlineStr">
        <is>
          <t>INT-AD-02</t>
        </is>
      </c>
      <c r="C12" s="22" t="inlineStr">
        <is>
          <t>属性同期</t>
        </is>
      </c>
      <c r="D12" s="22" t="inlineStr">
        <is>
          <t>拠点・部門・職位・言語・勤務形態等の属性をEntra IDから自動同期。差分検知は1時間以内。</t>
        </is>
      </c>
      <c r="E12" s="23" t="inlineStr">
        <is>
          <t>M</t>
        </is>
      </c>
      <c r="F12" s="61" t="inlineStr">
        <is>
          <t>【標準】
可能です。拠点・部門・職位・言語・勤務形態等の属性をEntra IDから自動同期できます。差分検知1時間以内については要確認（公式資料未記載）です。
参照：https://support.staffbase.com/hc/ja/articles/4402308118546</t>
        </is>
      </c>
    </row>
    <row r="13" ht="80" customHeight="1" s="47">
      <c r="B13" s="21" t="inlineStr">
        <is>
          <t>INT-AD-03</t>
        </is>
      </c>
      <c r="C13" s="22" t="inlineStr">
        <is>
          <t>条件付きアクセス</t>
        </is>
      </c>
      <c r="D13" s="22" t="inlineStr">
        <is>
          <t>Entra ID条件付きアクセスポリシーに従い、デバイス準拠/IP制限/リスクベース認証を適用可能。</t>
        </is>
      </c>
      <c r="E13" s="23" t="inlineStr">
        <is>
          <t>M</t>
        </is>
      </c>
      <c r="F13" s="62" t="inlineStr">
        <is>
          <t>【条件付き】
条件付き可能です。Entra ID条件付きアクセスポリシーとの連携については、SSO/SCIM設定を通じた対応が可能ですが、デバイス準拠/IP制限/リスクベース認証の詳細については要確認（公式資料未記載）です。
参照：limitations_kb.md</t>
        </is>
      </c>
    </row>
    <row r="14" ht="16.5" customHeight="1" s="47">
      <c r="B14" s="20" t="inlineStr">
        <is>
          <t>4.3 HRシステム(Workday想定)連携</t>
        </is>
      </c>
    </row>
    <row r="15" ht="80" customHeight="1" s="47">
      <c r="B15" s="21" t="inlineStr">
        <is>
          <t>INT-HR-01</t>
        </is>
      </c>
      <c r="C15" s="22" t="inlineStr">
        <is>
          <t>従業員マスタ連携</t>
        </is>
      </c>
      <c r="D15" s="22" t="inlineStr">
        <is>
          <t>Workday HCMの従業員マスタを日次以上の頻度で自動同期すること(Workday RaaS/REST API利用想定)。</t>
        </is>
      </c>
      <c r="E15" s="23" t="inlineStr">
        <is>
          <t>M</t>
        </is>
      </c>
      <c r="F15" s="61" t="inlineStr">
        <is>
          <t>【標準】
可能です。Workday HCMとの軽量HR統合が標準機能として提供されています（Merge.dev経由）。日次以上の頻度での自動同期が可能です。
参照：https://support.staffbase.com/hc/ja/articles/27823889873042</t>
        </is>
      </c>
    </row>
    <row r="16" ht="80" customHeight="1" s="47">
      <c r="B16" s="21" t="inlineStr">
        <is>
          <t>INT-HR-02</t>
        </is>
      </c>
      <c r="C16" s="22" t="inlineStr">
        <is>
          <t>組織階層連携</t>
        </is>
      </c>
      <c r="D16" s="22" t="inlineStr">
        <is>
          <t>組織階層・上司情報・コストセンターを取込み、ターゲティング属性として利用可能であること。</t>
        </is>
      </c>
      <c r="E16" s="23" t="inlineStr">
        <is>
          <t>M</t>
        </is>
      </c>
      <c r="F16" s="61" t="inlineStr">
        <is>
          <t>【標準】
可能です。組織階層・上司情報・コストセンターの取込みと、ターゲティング属性としての利用が可能です。
参照：https://support.staffbase.com/hc/ja/articles/27823889873042</t>
        </is>
      </c>
    </row>
    <row r="17" ht="80" customHeight="1" s="47">
      <c r="B17" s="21" t="inlineStr">
        <is>
          <t>INT-HR-03</t>
        </is>
      </c>
      <c r="C17" s="22" t="inlineStr">
        <is>
          <t>ライフサイクル連動</t>
        </is>
      </c>
      <c r="D17" s="22" t="inlineStr">
        <is>
          <t>入社・異動・退社イベントをトリガーとしたアカウント有効化/無効化が自動実行されること。</t>
        </is>
      </c>
      <c r="E17" s="23" t="inlineStr">
        <is>
          <t>M</t>
        </is>
      </c>
      <c r="F17" s="61" t="inlineStr">
        <is>
          <t>【標準】
可能です。入社・異動・退社イベントをトリガーとしたアカウント有効化/無効化の自動実行が、SCIM 2.0またはHR統合経由で対応可能です。
参照：https://support.staffbase.com/hc/ja/articles/4402308118546</t>
        </is>
      </c>
    </row>
    <row r="18" ht="16.5" customHeight="1" s="47">
      <c r="B18" s="20" t="inlineStr">
        <is>
          <t>4.4 Slack / Microsoft Teams連携</t>
        </is>
      </c>
    </row>
    <row r="19" ht="80" customHeight="1" s="47">
      <c r="B19" s="21" t="inlineStr">
        <is>
          <t>INT-CO-01</t>
        </is>
      </c>
      <c r="C19" s="22" t="inlineStr">
        <is>
          <t>Teams Bot</t>
        </is>
      </c>
      <c r="D19" s="22" t="inlineStr">
        <is>
          <t>Teams内で記事配信・リマインド・既読登録が完結するBotアプリを提供できること。</t>
        </is>
      </c>
      <c r="E19" s="23" t="inlineStr">
        <is>
          <t>M</t>
        </is>
      </c>
      <c r="F19" s="61" t="inlineStr">
        <is>
          <t>【標準】
可能です。Microsoft Teams内にStaffbaseプラットフォームを埋め込むことができます。Teamsからの記事配信・既読登録については要確認（公式資料未記載）です。
参照：https://support.staffbase.com/hc/ja/articles/19238145200018</t>
        </is>
      </c>
    </row>
    <row r="20" ht="80" customHeight="1" s="47">
      <c r="B20" s="21" t="inlineStr">
        <is>
          <t>INT-CO-02</t>
        </is>
      </c>
      <c r="C20" s="22" t="inlineStr">
        <is>
          <t>Slack連携</t>
        </is>
      </c>
      <c r="D20" s="22" t="inlineStr">
        <is>
          <t>重要記事をSlack指定チャネルに自動投稿・スレッド化できること。</t>
        </is>
      </c>
      <c r="E20" s="25" t="inlineStr">
        <is>
          <t>S</t>
        </is>
      </c>
      <c r="F20" s="63" t="inlineStr">
        <is>
          <t>【要確認】
要確認（公式資料未記載）。Slack連携による重要記事の自動投稿・スレッド化については、Staffbase営業担当にご確認ください。
参照：limitations_kb.md</t>
        </is>
      </c>
    </row>
    <row r="21" ht="80" customHeight="1" s="47">
      <c r="B21" s="21" t="inlineStr">
        <is>
          <t>INT-CO-03</t>
        </is>
      </c>
      <c r="C21" s="22" t="inlineStr">
        <is>
          <t>Deep Link</t>
        </is>
      </c>
      <c r="D21" s="22" t="inlineStr">
        <is>
          <t>TeamsチャネルからStaffbase記事へのディープリンクで権限引継ぎ遷移が可能であること。</t>
        </is>
      </c>
      <c r="E21" s="25" t="inlineStr">
        <is>
          <t>S</t>
        </is>
      </c>
      <c r="F21" s="62" t="inlineStr">
        <is>
          <t>【条件付き】
条件付き可能です。TeamsチャネルからStaffbase記事へのディープリンクについては、Teams埋め込み機能と組み合わせて対応可能ですが、詳細仕様は要相談です。
参照：https://support.staffbase.com/hc/ja/articles/19238145200018</t>
        </is>
      </c>
    </row>
    <row r="22" ht="16.5" customHeight="1" s="47">
      <c r="B22" s="20" t="inlineStr">
        <is>
          <t>4.5 その他</t>
        </is>
      </c>
    </row>
    <row r="23" ht="80" customHeight="1" s="47">
      <c r="B23" s="21" t="inlineStr">
        <is>
          <t>INT-OT-01</t>
        </is>
      </c>
      <c r="C23" s="22" t="inlineStr">
        <is>
          <t>Webhook/API</t>
        </is>
      </c>
      <c r="D23" s="22" t="inlineStr">
        <is>
          <t>公開REST API・Webhookを提供し、社内自動化基盤(Power Automate/Zapier等)から呼出し可能。</t>
        </is>
      </c>
      <c r="E23" s="23" t="inlineStr">
        <is>
          <t>M</t>
        </is>
      </c>
      <c r="F23" s="61" t="inlineStr">
        <is>
          <t>【標準】
可能です。公開REST APIおよびWebhookを提供しており、Power Automate/Zapier等からの呼出しが可能です。
参照：https://support.staffbase.com/hc/ja/articles/25487807954322</t>
        </is>
      </c>
    </row>
    <row r="24" ht="80" customHeight="1" s="47">
      <c r="B24" s="21" t="inlineStr">
        <is>
          <t>INT-OT-02</t>
        </is>
      </c>
      <c r="C24" s="22" t="inlineStr">
        <is>
          <t>ログ連携</t>
        </is>
      </c>
      <c r="D24" s="22" t="inlineStr">
        <is>
          <t>監査ログ・アクセスログを既存SIEM(Microsoft Sentinel)へ連携可能であること。</t>
        </is>
      </c>
      <c r="E24" s="23" t="inlineStr">
        <is>
          <t>M</t>
        </is>
      </c>
      <c r="F24" s="63" t="inlineStr">
        <is>
          <t>【要確認】
要確認（公式資料未記載）。監査ログ・アクセスログのMicrosoft Sentinelへの連携については、Staffbase営業担当にご確認ください。
参照：limitations_kb.md</t>
        </is>
      </c>
    </row>
    <row r="25" ht="80" customHeight="1" s="47">
      <c r="B25" s="21" t="inlineStr">
        <is>
          <t>INT-OT-03</t>
        </is>
      </c>
      <c r="C25" s="22" t="inlineStr">
        <is>
          <t>DAM連携</t>
        </is>
      </c>
      <c r="D25" s="22" t="inlineStr">
        <is>
          <t>既存デジタルアセット管理システム(Bynder想定)とのコンテンツ連携API。</t>
        </is>
      </c>
      <c r="E25" s="28" t="inlineStr">
        <is>
          <t>C</t>
        </is>
      </c>
      <c r="F25" s="63" t="inlineStr">
        <is>
          <t>【要確認】
要確認（公式資料未記載）。Bynder等のDAMシステムとのコンテンツ連携APIについては、Staffbase営業担当にご確認ください。
参照：limitations_kb.md</t>
        </is>
      </c>
    </row>
  </sheetData>
  <mergeCells count="7">
    <mergeCell ref="B18:E18"/>
    <mergeCell ref="A1:E1"/>
    <mergeCell ref="B3:E3"/>
    <mergeCell ref="B5:E5"/>
    <mergeCell ref="B10:E10"/>
    <mergeCell ref="B22:E22"/>
    <mergeCell ref="B14:E14"/>
  </mergeCells>
  <pageMargins left="0.7" right="0.7" top="0.75" bottom="0.75" header="0.3" footer="0.3"/>
  <pageSetup orientation="portrait" paperSize="1"/>
  <headerFooter>
    <oddHeader>&amp;L&amp;C&amp;R</oddHeader>
    <oddFooter>&amp;L&amp;C&amp;R</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F20"/>
  <sheetViews>
    <sheetView topLeftCell="A1" workbookViewId="0">
      <selection activeCell="A1" sqref="A1:E1"/>
    </sheetView>
  </sheetViews>
  <sheetFormatPr baseColWidth="8" defaultColWidth="8.8515625" defaultRowHeight="15" customHeight="1"/>
  <cols>
    <col width="2.8515625" customWidth="1" style="47" min="1" max="1"/>
    <col width="14.28125" customWidth="1" style="47" min="2" max="2"/>
    <col width="28.57421875" customWidth="1" style="47" min="3" max="3"/>
    <col width="77.140625" customWidth="1" style="47" min="4" max="4"/>
    <col width="12.8515625" customWidth="1" style="47" min="5" max="5"/>
    <col width="65" customWidth="1" style="47" min="6" max="6"/>
  </cols>
  <sheetData>
    <row r="1" ht="21" customHeight="1" s="47">
      <c r="A1" s="17" t="inlineStr">
        <is>
          <t>第5章 運用要件</t>
        </is>
      </c>
    </row>
    <row r="2"/>
    <row r="3" ht="21" customHeight="1" s="47">
      <c r="B3" s="19" t="inlineStr">
        <is>
          <t>要件ID</t>
        </is>
      </c>
      <c r="C3" s="19" t="inlineStr">
        <is>
          <t>カテゴリ</t>
        </is>
      </c>
      <c r="D3" s="19" t="inlineStr">
        <is>
          <t>要件詳細</t>
        </is>
      </c>
      <c r="E3" s="19" t="inlineStr">
        <is>
          <t>優先度</t>
        </is>
      </c>
      <c r="F3" s="60" t="inlineStr">
        <is>
          <t>Staffbase回答</t>
        </is>
      </c>
    </row>
    <row r="4" ht="16.5" customHeight="1" s="47">
      <c r="B4" s="20" t="inlineStr">
        <is>
          <t>5.1 運用体制・サポート</t>
        </is>
      </c>
    </row>
    <row r="5" ht="80" customHeight="1" s="47">
      <c r="B5" s="21" t="inlineStr">
        <is>
          <t>OP-SP-01</t>
        </is>
      </c>
      <c r="C5" s="22" t="inlineStr">
        <is>
          <t>サポート窓口</t>
        </is>
      </c>
      <c r="D5" s="22" t="inlineStr">
        <is>
          <t>日本語対応の専任カスタマーサクセスマネージャー(CSM)を配置すること。</t>
        </is>
      </c>
      <c r="E5" s="23" t="inlineStr">
        <is>
          <t>M</t>
        </is>
      </c>
      <c r="F5" s="62" t="inlineStr">
        <is>
          <t>【条件付き】
条件付き可能です。グローバルサポートを提供しており、日本語対応のCSMについては契約プランにより提供されます。専任CSMの配置については要相談です。
参照：ops_kb.md</t>
        </is>
      </c>
    </row>
    <row r="6" ht="80" customHeight="1" s="47">
      <c r="B6" s="21" t="inlineStr">
        <is>
          <t>OP-SP-02</t>
        </is>
      </c>
      <c r="C6" s="22" t="inlineStr">
        <is>
          <t>サポート時間</t>
        </is>
      </c>
      <c r="D6" s="22" t="inlineStr">
        <is>
          <t>Severity1障害は24時間365日対応。一般問合せは平日9-18時(JST)対応。</t>
        </is>
      </c>
      <c r="E6" s="23" t="inlineStr">
        <is>
          <t>M</t>
        </is>
      </c>
      <c r="F6" s="62" t="inlineStr">
        <is>
          <t>【条件付き】
条件付き可能です。Severity1障害の24時間365日対応については、契約プランにより異なります。一般問合せの平日9-18時（JST）対応については要確認（公式資料未記載）です。
参照：ops_kb.md, limitations_kb.md</t>
        </is>
      </c>
    </row>
    <row r="7" ht="80" customHeight="1" s="47">
      <c r="B7" s="21" t="inlineStr">
        <is>
          <t>OP-SP-03</t>
        </is>
      </c>
      <c r="C7" s="22" t="inlineStr">
        <is>
          <t>ナレッジ</t>
        </is>
      </c>
      <c r="D7" s="22" t="inlineStr">
        <is>
          <t>管理者向け日本語ナレッジベース・コミュニティフォーラムへのアクセス提供。</t>
        </is>
      </c>
      <c r="E7" s="23" t="inlineStr">
        <is>
          <t>M</t>
        </is>
      </c>
      <c r="F7" s="61" t="inlineStr">
        <is>
          <t>【対応可】
可能です。管理者向けナレッジベース・コミュニティフォーラムへのアクセスを提供しています。日本語ナレッジベースについては要確認（公式資料未記載）です。
参照：ops_kb.md</t>
        </is>
      </c>
    </row>
    <row r="8" ht="16.5" customHeight="1" s="47">
      <c r="B8" s="20" t="inlineStr">
        <is>
          <t>5.2 管理者機能</t>
        </is>
      </c>
    </row>
    <row r="9" ht="80" customHeight="1" s="47">
      <c r="B9" s="21" t="inlineStr">
        <is>
          <t>OP-AD-01</t>
        </is>
      </c>
      <c r="C9" s="22" t="inlineStr">
        <is>
          <t>管理コンソール</t>
        </is>
      </c>
      <c r="D9" s="22" t="inlineStr">
        <is>
          <t>ユーザー・チャネル・コンテンツ・権限・通知設定をWeb UIから一元管理可能。</t>
        </is>
      </c>
      <c r="E9" s="23" t="inlineStr">
        <is>
          <t>M</t>
        </is>
      </c>
      <c r="F9" s="61" t="inlineStr">
        <is>
          <t>【対応可】
可能です。管理コンソール（Studio）からユーザー・チャネル・コンテンツ・権限・通知設定を一元管理できます。
参照：https://support.staffbase.com/hc/ja/articles/25493932387090</t>
        </is>
      </c>
    </row>
    <row r="10" ht="80" customHeight="1" s="47">
      <c r="B10" s="21" t="inlineStr">
        <is>
          <t>OP-AD-02</t>
        </is>
      </c>
      <c r="C10" s="22" t="inlineStr">
        <is>
          <t>委任管理</t>
        </is>
      </c>
      <c r="D10" s="22" t="inlineStr">
        <is>
          <t>拠点別・部門別の管理者を任命し、権限スコープを限定して委任可能であること。</t>
        </is>
      </c>
      <c r="E10" s="23" t="inlineStr">
        <is>
          <t>M</t>
        </is>
      </c>
      <c r="F10" s="61" t="inlineStr">
        <is>
          <t>【対応可】
可能です。拠点別・部門別の管理者を任命し、権限スコープを限定した委任管理が可能です。
参照：https://support.staffbase.com/hc/ja/articles/208282825</t>
        </is>
      </c>
    </row>
    <row r="11" ht="80" customHeight="1" s="47">
      <c r="B11" s="21" t="inlineStr">
        <is>
          <t>OP-AD-03</t>
        </is>
      </c>
      <c r="C11" s="22" t="inlineStr">
        <is>
          <t>一括操作</t>
        </is>
      </c>
      <c r="D11" s="22" t="inlineStr">
        <is>
          <t>ユーザー一括追加・コンテンツ一括移行・チャネル一括設定をCSV/APIで実施可能。</t>
        </is>
      </c>
      <c r="E11" s="25" t="inlineStr">
        <is>
          <t>S</t>
        </is>
      </c>
      <c r="F11" s="62" t="inlineStr">
        <is>
          <t>【条件付き】
条件付き可能です。ユーザー一括追加はCSV/API経由で対応可能です。コンテンツ一括移行・チャネル一括設定については要確認（公式資料未記載）です。
参照：https://support.staffbase.com/hc/ja/articles/4402308118546</t>
        </is>
      </c>
    </row>
    <row r="12" ht="16.5" customHeight="1" s="47">
      <c r="B12" s="20" t="inlineStr">
        <is>
          <t>5.3 コンテンツ承認フロー</t>
        </is>
      </c>
    </row>
    <row r="13" ht="80" customHeight="1" s="47">
      <c r="B13" s="21" t="inlineStr">
        <is>
          <t>OP-WF-01</t>
        </is>
      </c>
      <c r="C13" s="22" t="inlineStr">
        <is>
          <t>承認ワークフロー</t>
        </is>
      </c>
      <c r="D13" s="22" t="inlineStr">
        <is>
          <t>起案→レビュー→承認→公開の多段承認フローを設定可能。並列承認・差戻し対応必須。</t>
        </is>
      </c>
      <c r="E13" s="23" t="inlineStr">
        <is>
          <t>M</t>
        </is>
      </c>
      <c r="F13" s="61" t="inlineStr">
        <is>
          <t>【対応可】
可能です。コンテンツの承認ワークフロー（起案→レビュー→承認→公開）が標準機能として提供されています。並列承認・差戻し対応については要確認（公式資料未記載）です。
参照：https://support.staffbase.com/hc/ja/articles/20365084340242</t>
        </is>
      </c>
    </row>
    <row r="14" ht="80" customHeight="1" s="47">
      <c r="B14" s="21" t="inlineStr">
        <is>
          <t>OP-WF-02</t>
        </is>
      </c>
      <c r="C14" s="22" t="inlineStr">
        <is>
          <t>承認者通知</t>
        </is>
      </c>
      <c r="D14" s="22" t="inlineStr">
        <is>
          <t>承認待ちタスクをメール・Teams・モバイル通知で承認者へ自動通知。</t>
        </is>
      </c>
      <c r="E14" s="23" t="inlineStr">
        <is>
          <t>M</t>
        </is>
      </c>
      <c r="F14" s="61" t="inlineStr">
        <is>
          <t>【対応可】
可能です。承認待ちタスクのメール・モバイル通知が標準機能として提供されています。Teams通知については要確認（公式資料未記載）です。
参照：https://support.staffbase.com/hc/ja/articles/207179685</t>
        </is>
      </c>
    </row>
    <row r="15" ht="80" customHeight="1" s="47">
      <c r="B15" s="21" t="inlineStr">
        <is>
          <t>OP-WF-03</t>
        </is>
      </c>
      <c r="C15" s="22" t="inlineStr">
        <is>
          <t>監査履歴</t>
        </is>
      </c>
      <c r="D15" s="22" t="inlineStr">
        <is>
          <t>コンテンツの作成・編集・承認・公開・削除の全操作を監査ログとして3年以上保管。</t>
        </is>
      </c>
      <c r="E15" s="23" t="inlineStr">
        <is>
          <t>M</t>
        </is>
      </c>
      <c r="F15" s="62" t="inlineStr">
        <is>
          <t>【条件付き】
条件付き可能です。コンテンツ操作の監査ログ取得は可能ですが、3年以上の保管保証については契約内容により異なります。
参照：security_kb.md, limitations_kb.md</t>
        </is>
      </c>
    </row>
    <row r="16" ht="80" customHeight="1" s="47">
      <c r="B16" s="21" t="inlineStr">
        <is>
          <t>OP-WF-04</t>
        </is>
      </c>
      <c r="C16" s="22" t="inlineStr">
        <is>
          <t>承認テンプレ</t>
        </is>
      </c>
      <c r="D16" s="22" t="inlineStr">
        <is>
          <t>コンテンツ種別(IR/HR/危機管理等)別に異なる承認フローテンプレートを定義可能。</t>
        </is>
      </c>
      <c r="E16" s="25" t="inlineStr">
        <is>
          <t>S</t>
        </is>
      </c>
      <c r="F16" s="62" t="inlineStr">
        <is>
          <t>【条件付き】
条件付き可能です。承認ワークフローの設定は可能ですが、コンテンツ種別（IR/HR/危機管理等）別の異なるテンプレート定義については要確認（公式資料未記載）です。
参照：limitations_kb.md</t>
        </is>
      </c>
    </row>
    <row r="17" ht="16.5" customHeight="1" s="47">
      <c r="B17" s="20" t="inlineStr">
        <is>
          <t>5.4 KPI管理・PDCA運用</t>
        </is>
      </c>
    </row>
    <row r="18" ht="80" customHeight="1" s="47">
      <c r="B18" s="21" t="inlineStr">
        <is>
          <t>OP-KP-01</t>
        </is>
      </c>
      <c r="C18" s="22" t="inlineStr">
        <is>
          <t>KPIダッシュボード</t>
        </is>
      </c>
      <c r="D18" s="22" t="inlineStr">
        <is>
          <t>経営層・コミュニケーション部門向けKPIダッシュボードを月次自動配信できること。</t>
        </is>
      </c>
      <c r="E18" s="23" t="inlineStr">
        <is>
          <t>M</t>
        </is>
      </c>
      <c r="F18" s="62" t="inlineStr">
        <is>
          <t>【条件付き】
条件付き可能です。分析ダッシュボードによるKPI確認は可能ですが、月次自動配信メールについては要確認（公式資料未記載）です。
参照：https://support.staffbase.com/hc/ja/articles/360013327939</t>
        </is>
      </c>
    </row>
    <row r="19" ht="80" customHeight="1" s="47">
      <c r="B19" s="21" t="inlineStr">
        <is>
          <t>OP-KP-02</t>
        </is>
      </c>
      <c r="C19" s="22" t="inlineStr">
        <is>
          <t>目標設定</t>
        </is>
      </c>
      <c r="D19" s="22" t="inlineStr">
        <is>
          <t>OBJ-01〜OBJ-06の達成度を計測する独自KPI指標を構成可能であること。</t>
        </is>
      </c>
      <c r="E19" s="23" t="inlineStr">
        <is>
          <t>M</t>
        </is>
      </c>
      <c r="F19" s="62" t="inlineStr">
        <is>
          <t>【条件付き】
条件付き可能です。標準の分析指標を活用できますが、完全にカスタムなKPI指標の構成については要相談です。
参照：https://support.staffbase.com/hc/ja/articles/360013327939</t>
        </is>
      </c>
    </row>
    <row r="20" ht="80" customHeight="1" s="47">
      <c r="B20" s="21" t="inlineStr">
        <is>
          <t>OP-KP-03</t>
        </is>
      </c>
      <c r="C20" s="22" t="inlineStr">
        <is>
          <t>改善提案</t>
        </is>
      </c>
      <c r="D20" s="22" t="inlineStr">
        <is>
          <t>CSMによる四半期レビュー(QBR)で改善提案・他社事例共有を実施すること。</t>
        </is>
      </c>
      <c r="E20" s="25" t="inlineStr">
        <is>
          <t>S</t>
        </is>
      </c>
      <c r="F20" s="61" t="inlineStr">
        <is>
          <t>【対応可】
可能です。CSMによる四半期ビジネスレビュー（QBR）を提供しており、改善提案・他社事例共有を実施します。
参照：ops_kb.md</t>
        </is>
      </c>
    </row>
  </sheetData>
  <mergeCells count="5">
    <mergeCell ref="B17:E17"/>
    <mergeCell ref="B8:E8"/>
    <mergeCell ref="B4:E4"/>
    <mergeCell ref="B12:E12"/>
    <mergeCell ref="A1:E1"/>
  </mergeCells>
  <pageMargins left="0.7" right="0.7" top="0.75" bottom="0.75" header="0.3" footer="0.3"/>
  <pageSetup orientation="portrait" paperSize="1"/>
  <headerFooter>
    <oddHeader>&amp;L&amp;C&amp;R</oddHeader>
    <oddFooter>&amp;L&amp;C&amp;R</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F24"/>
  <sheetViews>
    <sheetView topLeftCell="A1" workbookViewId="0">
      <selection activeCell="A1" sqref="A1:E1"/>
    </sheetView>
  </sheetViews>
  <sheetFormatPr baseColWidth="8" defaultColWidth="8.8515625" defaultRowHeight="15" customHeight="1"/>
  <cols>
    <col width="2.8515625" customWidth="1" style="47" min="1" max="1"/>
    <col width="14.28125" customWidth="1" style="47" min="2" max="2"/>
    <col width="28.57421875" customWidth="1" style="47" min="3" max="3"/>
    <col width="77.140625" customWidth="1" style="47" min="4" max="4"/>
    <col width="12.8515625" customWidth="1" style="47" min="5" max="5"/>
    <col width="65" customWidth="1" style="47" min="6" max="6"/>
  </cols>
  <sheetData>
    <row r="1" ht="21" customHeight="1" s="47">
      <c r="A1" s="17" t="inlineStr">
        <is>
          <t>第6章 セキュリティ・コンプライアンス要件</t>
        </is>
      </c>
    </row>
    <row r="2"/>
    <row r="3" ht="21" customHeight="1" s="47">
      <c r="B3" s="19" t="inlineStr">
        <is>
          <t>要件ID</t>
        </is>
      </c>
      <c r="C3" s="19" t="inlineStr">
        <is>
          <t>カテゴリ</t>
        </is>
      </c>
      <c r="D3" s="19" t="inlineStr">
        <is>
          <t>要件詳細</t>
        </is>
      </c>
      <c r="E3" s="19" t="inlineStr">
        <is>
          <t>優先度</t>
        </is>
      </c>
      <c r="F3" s="60" t="inlineStr">
        <is>
          <t>Staffbase回答</t>
        </is>
      </c>
    </row>
    <row r="4" ht="16.5" customHeight="1" s="47">
      <c r="B4" s="20" t="inlineStr">
        <is>
          <t>6.1 認証取得・第三者保証</t>
        </is>
      </c>
    </row>
    <row r="5" ht="80" customHeight="1" s="47">
      <c r="B5" s="21" t="inlineStr">
        <is>
          <t>SEC-CT-01</t>
        </is>
      </c>
      <c r="C5" s="22" t="inlineStr">
        <is>
          <t>ISO27001</t>
        </is>
      </c>
      <c r="D5" s="22" t="inlineStr">
        <is>
          <t>ISO/IEC 27001認証を取得し、有効な認証書を提示できること。</t>
        </is>
      </c>
      <c r="E5" s="23" t="inlineStr">
        <is>
          <t>M</t>
        </is>
      </c>
      <c r="F5" s="61" t="inlineStr">
        <is>
          <t>【対応可】
可能です。StaffbaseはISO/IEC 27001認証を取得済みです。有効な認証書はStaffbase Trust Center（https://trust.staffbase.com）にて確認・提示が可能です。
参照：isms_controls.md</t>
        </is>
      </c>
    </row>
    <row r="6" ht="80" customHeight="1" s="47">
      <c r="B6" s="21" t="inlineStr">
        <is>
          <t>SEC-CT-02</t>
        </is>
      </c>
      <c r="C6" s="22" t="inlineStr">
        <is>
          <t>SOC2 Type II</t>
        </is>
      </c>
      <c r="D6" s="22" t="inlineStr">
        <is>
          <t>SOC2 Type IIレポートを年次で発行し、当社へ開示可能であること。</t>
        </is>
      </c>
      <c r="E6" s="23" t="inlineStr">
        <is>
          <t>M</t>
        </is>
      </c>
      <c r="F6" s="61" t="inlineStr">
        <is>
          <t>【対応可】
可能です。SOC 2 Type IIレポートを年次で発行しており、NDA締結後に開示可能です。
参照：isms_controls.md</t>
        </is>
      </c>
    </row>
    <row r="7" ht="80" customHeight="1" s="47">
      <c r="B7" s="21" t="inlineStr">
        <is>
          <t>SEC-CT-03</t>
        </is>
      </c>
      <c r="C7" s="22" t="inlineStr">
        <is>
          <t>ISO27017/27018</t>
        </is>
      </c>
      <c r="D7" s="22" t="inlineStr">
        <is>
          <t>クラウドセキュリティ及びクラウド個人情報保護に関する認証取得が望ましい。</t>
        </is>
      </c>
      <c r="E7" s="25" t="inlineStr">
        <is>
          <t>S</t>
        </is>
      </c>
      <c r="F7" s="63" t="inlineStr">
        <is>
          <t>【要確認】
要確認（公式資料未記載）。ISO 27017/27018の取得状況については、Staffbase Trust Center（https://trust.staffbase.com）または営業担当にご確認ください。
参照：isms_controls.md</t>
        </is>
      </c>
    </row>
    <row r="8" ht="16.5" customHeight="1" s="47">
      <c r="B8" s="20" t="inlineStr">
        <is>
          <t>6.2 個人情報保護・GDPR対応</t>
        </is>
      </c>
    </row>
    <row r="9" ht="80" customHeight="1" s="47">
      <c r="B9" s="21" t="inlineStr">
        <is>
          <t>SEC-PP-01</t>
        </is>
      </c>
      <c r="C9" s="22" t="inlineStr">
        <is>
          <t>GDPR準拠</t>
        </is>
      </c>
      <c r="D9" s="22" t="inlineStr">
        <is>
          <t>EU/英国GDPRに準拠した処理を実施し、データ処理者契約(DPA)を締結可能であること。</t>
        </is>
      </c>
      <c r="E9" s="23" t="inlineStr">
        <is>
          <t>M</t>
        </is>
      </c>
      <c r="F9" s="61" t="inlineStr">
        <is>
          <t>【対応可】
可能です。StaffbaseはGDPR要件に準拠した処理を実施しており、データ処理者契約（DPA）の締結が可能です。
参照：compliance_kb.md</t>
        </is>
      </c>
    </row>
    <row r="10" ht="80" customHeight="1" s="47">
      <c r="B10" s="21" t="inlineStr">
        <is>
          <t>SEC-PP-02</t>
        </is>
      </c>
      <c r="C10" s="22" t="inlineStr">
        <is>
          <t>改正個情法</t>
        </is>
      </c>
      <c r="D10" s="22" t="inlineStr">
        <is>
          <t>日本の改正個人情報保護法に対応した取扱規程・越境移転同意取得プロセスを整備していること。</t>
        </is>
      </c>
      <c r="E10" s="23" t="inlineStr">
        <is>
          <t>M</t>
        </is>
      </c>
      <c r="F10" s="62" t="inlineStr">
        <is>
          <t>【条件付き】
条件付き可能です。GDPRへの準拠は確認されていますが、日本の改正個人情報保護法への具体的な対応プロセス・越境移転同意取得プロセスについては要確認（公式資料未記載）です。
参照：compliance_kb.md, limitations_kb.md</t>
        </is>
      </c>
    </row>
    <row r="11" ht="80" customHeight="1" s="47">
      <c r="B11" s="21" t="inlineStr">
        <is>
          <t>SEC-PP-03</t>
        </is>
      </c>
      <c r="C11" s="22" t="inlineStr">
        <is>
          <t>データ所在地</t>
        </is>
      </c>
      <c r="D11" s="22" t="inlineStr">
        <is>
          <t>顧客データの保管リージョンを選択可能(EU/US/APACいずれか)。日本リージョン提供有無を明示すること。</t>
        </is>
      </c>
      <c r="E11" s="23" t="inlineStr">
        <is>
          <t>M</t>
        </is>
      </c>
      <c r="F11" s="62" t="inlineStr">
        <is>
          <t>【条件付き】
条件付き対応です。データセンターはUS（米国）、DE（ヨーロッパ）、AU（オーストラリア）から選択可能ですが、日本リージョンは現時点では提供されていません。APACリージョンとしてAU（オーストラリア）が利用可能です。
参照：https://support.staffbase.com/hc/ja/articles/25488156675986, limitations_kb.md</t>
        </is>
      </c>
    </row>
    <row r="12" ht="80" customHeight="1" s="47">
      <c r="B12" s="21" t="inlineStr">
        <is>
          <t>SEC-PP-04</t>
        </is>
      </c>
      <c r="C12" s="22" t="inlineStr">
        <is>
          <t>DSR対応</t>
        </is>
      </c>
      <c r="D12" s="22" t="inlineStr">
        <is>
          <t>データ主体権利(開示・訂正・削除)請求への対応プロセスをSLA付きで提供すること。</t>
        </is>
      </c>
      <c r="E12" s="23" t="inlineStr">
        <is>
          <t>M</t>
        </is>
      </c>
      <c r="F12" s="62" t="inlineStr">
        <is>
          <t>【条件付き】
条件付き可能です。データ主体権利（DSR：開示・訂正・削除）への対応プロセスは整備されていますが、SLA付きの詳細については要確認（公式資料未記載）です。
参照：compliance_kb.md</t>
        </is>
      </c>
    </row>
    <row r="13" ht="16.5" customHeight="1" s="47">
      <c r="B13" s="20" t="inlineStr">
        <is>
          <t>6.3 データ保持・廃棄ポリシー</t>
        </is>
      </c>
    </row>
    <row r="14" ht="80" customHeight="1" s="47">
      <c r="B14" s="21" t="inlineStr">
        <is>
          <t>SEC-DR-01</t>
        </is>
      </c>
      <c r="C14" s="22" t="inlineStr">
        <is>
          <t>保持期間</t>
        </is>
      </c>
      <c r="D14" s="22" t="inlineStr">
        <is>
          <t>コンテンツ・ログの保持期間をテナント単位で設定可能であること。最大保持期間を明示すること。</t>
        </is>
      </c>
      <c r="E14" s="23" t="inlineStr">
        <is>
          <t>M</t>
        </is>
      </c>
      <c r="F14" s="62" t="inlineStr">
        <is>
          <t>【条件付き】
条件付き可能です。データ保持期間の設定については、契約内容により異なります。テナント単位での詳細設定・最大保持期間については要相談です。
参照：limitations_kb.md</t>
        </is>
      </c>
    </row>
    <row r="15" ht="80" customHeight="1" s="47">
      <c r="B15" s="21" t="inlineStr">
        <is>
          <t>SEC-DR-02</t>
        </is>
      </c>
      <c r="C15" s="22" t="inlineStr">
        <is>
          <t>退職者データ</t>
        </is>
      </c>
      <c r="D15" s="22" t="inlineStr">
        <is>
          <t>退職者アカウント無効化後30日以内のデータ匿名化/削除を自動実行可能。</t>
        </is>
      </c>
      <c r="E15" s="23" t="inlineStr">
        <is>
          <t>M</t>
        </is>
      </c>
      <c r="F15" s="62" t="inlineStr">
        <is>
          <t>【条件付き】
条件付き可能です。退職者アカウントのデプロビジョニングはSCIM 2.0等で自動化可能ですが、30日以内のデータ匿名化/削除の自動実行については要確認（公式資料未記載）です。
参照：https://support.staffbase.com/hc/ja/articles/4402308118546, limitations_kb.md</t>
        </is>
      </c>
    </row>
    <row r="16" ht="80" customHeight="1" s="47">
      <c r="B16" s="21" t="inlineStr">
        <is>
          <t>SEC-DR-03</t>
        </is>
      </c>
      <c r="C16" s="22" t="inlineStr">
        <is>
          <t>解約時データ返却</t>
        </is>
      </c>
      <c r="D16" s="22" t="inlineStr">
        <is>
          <t>契約終了時に全データを構造化形式(JSON/CSV)でエクスポート可能。返却後の確実消去を保証。</t>
        </is>
      </c>
      <c r="E16" s="23" t="inlineStr">
        <is>
          <t>M</t>
        </is>
      </c>
      <c r="F16" s="62" t="inlineStr">
        <is>
          <t>【条件付き】
条件付き可能です。契約終了時のデータエクスポートは可能ですが、構造化形式（JSON/CSV）での全データ返却と確実消去の保証については要確認（公式資料未記載）です。
参照：limitations_kb.md</t>
        </is>
      </c>
    </row>
    <row r="17" ht="16.5" customHeight="1" s="47">
      <c r="B17" s="20" t="inlineStr">
        <is>
          <t>6.4 監査ログ・モニタリング</t>
        </is>
      </c>
    </row>
    <row r="18" ht="80" customHeight="1" s="47">
      <c r="B18" s="21" t="inlineStr">
        <is>
          <t>SEC-AU-01</t>
        </is>
      </c>
      <c r="C18" s="22" t="inlineStr">
        <is>
          <t>監査ログ取得</t>
        </is>
      </c>
      <c r="D18" s="22" t="inlineStr">
        <is>
          <t>認証・権限変更・コンテンツ操作・管理操作の全イベントを構造化ログとして取得可能。</t>
        </is>
      </c>
      <c r="E18" s="23" t="inlineStr">
        <is>
          <t>M</t>
        </is>
      </c>
      <c r="F18" s="61" t="inlineStr">
        <is>
          <t>【対応可】
可能です。認証・権限変更・コンテンツ操作・管理操作の監査ログ取得が可能です。構造化ログ形式での提供については要確認（公式資料未記載）です。
参照：security_kb.md</t>
        </is>
      </c>
    </row>
    <row r="19" ht="80" customHeight="1" s="47">
      <c r="B19" s="21" t="inlineStr">
        <is>
          <t>SEC-AU-02</t>
        </is>
      </c>
      <c r="C19" s="22" t="inlineStr">
        <is>
          <t>ログ保管</t>
        </is>
      </c>
      <c r="D19" s="22" t="inlineStr">
        <is>
          <t>監査ログを最低3年間保管し、改ざん検知機能(ハッシュ・WORM等)を実装していること。</t>
        </is>
      </c>
      <c r="E19" s="23" t="inlineStr">
        <is>
          <t>M</t>
        </is>
      </c>
      <c r="F19" s="62" t="inlineStr">
        <is>
          <t>【条件付き】
条件付き可能です。監査ログの保管は可能ですが、3年間の保管保証と改ざん検知機能（ハッシュ・WORM等）の実装については要確認（公式資料未記載）です。
参照：security_kb.md, limitations_kb.md</t>
        </is>
      </c>
    </row>
    <row r="20" ht="80" customHeight="1" s="47">
      <c r="B20" s="21" t="inlineStr">
        <is>
          <t>SEC-AU-03</t>
        </is>
      </c>
      <c r="C20" s="22" t="inlineStr">
        <is>
          <t>SIEM連携</t>
        </is>
      </c>
      <c r="D20" s="22" t="inlineStr">
        <is>
          <t>監査ログをMicrosoft Sentinel等のSIEMへリアルタイム連携可能(Syslog/REST/Event Hub)。</t>
        </is>
      </c>
      <c r="E20" s="23" t="inlineStr">
        <is>
          <t>M</t>
        </is>
      </c>
      <c r="F20" s="63" t="inlineStr">
        <is>
          <t>【要確認】
要確認（公式資料未記載）。Microsoft Sentinel等のSIEMへのリアルタイム連携（Syslog/REST/Event Hub）については、Staffbase営業担当にご確認ください。
参照：limitations_kb.md</t>
        </is>
      </c>
    </row>
    <row r="21" ht="80" customHeight="1" s="47">
      <c r="B21" s="21" t="inlineStr">
        <is>
          <t>SEC-AU-04</t>
        </is>
      </c>
      <c r="C21" s="22" t="inlineStr">
        <is>
          <t>異常検知</t>
        </is>
      </c>
      <c r="D21" s="22" t="inlineStr">
        <is>
          <t>不審ログイン・大量ダウンロード等の異常を検知しアラート通知可能であること。</t>
        </is>
      </c>
      <c r="E21" s="25" t="inlineStr">
        <is>
          <t>S</t>
        </is>
      </c>
      <c r="F21" s="63" t="inlineStr">
        <is>
          <t>【要確認】
要確認（公式資料未記載）。不審ログイン・大量ダウンロード等の異常検知・アラート通知機能については、Staffbase営業担当にご確認ください。
参照：limitations_kb.md</t>
        </is>
      </c>
    </row>
    <row r="22" ht="16.5" customHeight="1" s="47">
      <c r="B22" s="20" t="inlineStr">
        <is>
          <t>6.5 インシデント対応</t>
        </is>
      </c>
    </row>
    <row r="23" ht="80" customHeight="1" s="47">
      <c r="B23" s="21" t="inlineStr">
        <is>
          <t>SEC-IR-01</t>
        </is>
      </c>
      <c r="C23" s="22" t="inlineStr">
        <is>
          <t>通知SLA</t>
        </is>
      </c>
      <c r="D23" s="22" t="inlineStr">
        <is>
          <t>重大セキュリティインシデント発生時、検知から24時間以内に当社CISOへ通知すること。</t>
        </is>
      </c>
      <c r="E23" s="23" t="inlineStr">
        <is>
          <t>M</t>
        </is>
      </c>
      <c r="F23" s="62" t="inlineStr">
        <is>
          <t>【条件付き】
条件付き可能です。重大セキュリティインシデント発生時の通知SLAについては、契約に基づき対応します。検知から24時間以内のCISO通知については要確認（公式資料未記載）です。
参照：ops_kb.md</t>
        </is>
      </c>
    </row>
    <row r="24" ht="80" customHeight="1" s="47">
      <c r="B24" s="21" t="inlineStr">
        <is>
          <t>SEC-IR-02</t>
        </is>
      </c>
      <c r="C24" s="22" t="inlineStr">
        <is>
          <t>情報共有</t>
        </is>
      </c>
      <c r="D24" s="22" t="inlineStr">
        <is>
          <t>脆弱性情報・パッチ適用予定を事前に共有し、影響範囲を文書化して提供すること。</t>
        </is>
      </c>
      <c r="E24" s="23" t="inlineStr">
        <is>
          <t>M</t>
        </is>
      </c>
      <c r="F24" s="61" t="inlineStr">
        <is>
          <t>【対応可】
可能です。脆弱性情報・パッチ適用予定の事前共有プロセスを整備しています。影響範囲の文書化提供については要確認（公式資料未記載）です。
参照：ops_kb.md</t>
        </is>
      </c>
    </row>
  </sheetData>
  <mergeCells count="6">
    <mergeCell ref="B17:E17"/>
    <mergeCell ref="B8:E8"/>
    <mergeCell ref="B4:E4"/>
    <mergeCell ref="B13:E13"/>
    <mergeCell ref="A1:E1"/>
    <mergeCell ref="B22:E22"/>
  </mergeCells>
  <pageMargins left="0.7" right="0.7" top="0.75" bottom="0.75" header="0.3" footer="0.3"/>
  <pageSetup orientation="portrait" paperSize="1"/>
  <headerFooter>
    <oddHeader>&amp;L&amp;C&amp;R</oddHeader>
    <oddFooter>&amp;L&amp;C&amp;R</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F19"/>
  <sheetViews>
    <sheetView topLeftCell="A1" workbookViewId="0">
      <selection activeCell="A1" sqref="A1:F1"/>
    </sheetView>
  </sheetViews>
  <sheetFormatPr baseColWidth="8" defaultColWidth="8.8515625" defaultRowHeight="15" customHeight="1"/>
  <cols>
    <col width="2.28125" customWidth="1" style="47" min="1" max="1"/>
    <col width="11.421875" customWidth="1" style="47" min="2" max="2"/>
    <col width="25.140625" customWidth="1" style="47" min="3" max="3"/>
    <col width="57.140625" customWidth="1" style="47" min="4" max="4"/>
    <col width="11.421875" customWidth="1" style="47" min="5" max="5"/>
    <col width="13.7109375" customWidth="1" style="47" min="6" max="6"/>
    <col width="2.28125" customWidth="1" style="47" min="7" max="7"/>
  </cols>
  <sheetData>
    <row r="1" ht="21" customHeight="1" s="47">
      <c r="A1" s="17" t="inlineStr">
        <is>
          <t>第7章 提案評価基準</t>
        </is>
      </c>
    </row>
    <row r="3" ht="33" customHeight="1" s="47">
      <c r="B3" s="29" t="inlineStr">
        <is>
          <t>当社は本RFPに対する提案を以下の評価カテゴリ・配点に基づき総合評価する。各カテゴリは10点満点で採点し、重み付け加重平均により総合スコアを算出する。総合スコア70点以上を最終選考通過の最低基準とする。</t>
        </is>
      </c>
      <c r="C3" s="64" t="n"/>
      <c r="D3" s="64" t="n"/>
      <c r="E3" s="64" t="n"/>
      <c r="F3" s="65" t="n"/>
    </row>
    <row r="5" ht="18" customHeight="1" s="47">
      <c r="B5" s="30" t="inlineStr">
        <is>
          <t>区分ID</t>
        </is>
      </c>
      <c r="C5" s="30" t="inlineStr">
        <is>
          <t>評価カテゴリ</t>
        </is>
      </c>
      <c r="D5" s="30" t="inlineStr">
        <is>
          <t>評価観点</t>
        </is>
      </c>
      <c r="E5" s="30" t="inlineStr">
        <is>
          <t>配点(満点)</t>
        </is>
      </c>
      <c r="F5" s="30" t="inlineStr">
        <is>
          <t>重み</t>
        </is>
      </c>
    </row>
    <row r="6" ht="30" customHeight="1" s="47">
      <c r="B6" s="31" t="inlineStr">
        <is>
          <t>EV-01</t>
        </is>
      </c>
      <c r="C6" s="32" t="inlineStr">
        <is>
          <t>ユーザーエクスペリエンス(UX)</t>
        </is>
      </c>
      <c r="D6" s="33" t="inlineStr">
        <is>
          <t>全社員(特にノンデスク層)が直感的に利用可能か。モバイル/デスクトップ双方の操作性、アクセシビリティ準拠状況、UI言語切替の自然さ。</t>
        </is>
      </c>
      <c r="E6" s="34" t="n">
        <v>10</v>
      </c>
      <c r="F6" s="35" t="n">
        <v>0.2</v>
      </c>
    </row>
    <row r="7" ht="30" customHeight="1" s="47">
      <c r="B7" s="31" t="inlineStr">
        <is>
          <t>EV-02</t>
        </is>
      </c>
      <c r="C7" s="32" t="inlineStr">
        <is>
          <t>拡張性・柔軟性</t>
        </is>
      </c>
      <c r="D7" s="33" t="inlineStr">
        <is>
          <t>API/Webhook/SDKの充実度、カスタムテンプレート対応範囲、HR/M365/BIとの連携深度、将来要件への適応性。</t>
        </is>
      </c>
      <c r="E7" s="34" t="n">
        <v>10</v>
      </c>
      <c r="F7" s="35" t="n">
        <v>0.15</v>
      </c>
    </row>
    <row r="8" ht="30" customHeight="1" s="47">
      <c r="B8" s="31" t="inlineStr">
        <is>
          <t>EV-03</t>
        </is>
      </c>
      <c r="C8" s="32" t="inlineStr">
        <is>
          <t>セキュリティ・コンプライアンス</t>
        </is>
      </c>
      <c r="D8" s="33" t="inlineStr">
        <is>
          <t>ISO27001/SOC2の取得状況、暗号化・ログ・データレジデンシー対応、GDPR/改正個情法準拠、インシデント対応SLA。</t>
        </is>
      </c>
      <c r="E8" s="34" t="n">
        <v>10</v>
      </c>
      <c r="F8" s="35" t="n">
        <v>0.2</v>
      </c>
    </row>
    <row r="9" ht="30" customHeight="1" s="47">
      <c r="B9" s="31" t="inlineStr">
        <is>
          <t>EV-04</t>
        </is>
      </c>
      <c r="C9" s="32" t="inlineStr">
        <is>
          <t>コスト・TCO</t>
        </is>
      </c>
      <c r="D9" s="33" t="inlineStr">
        <is>
          <t>初期費用、年間ライセンス費、追加ストレージ・追加言語の従量課金条件、5年TCOの透明性。</t>
        </is>
      </c>
      <c r="E9" s="34" t="n">
        <v>10</v>
      </c>
      <c r="F9" s="35" t="n">
        <v>0.2</v>
      </c>
    </row>
    <row r="10" ht="30" customHeight="1" s="47">
      <c r="B10" s="31" t="inlineStr">
        <is>
          <t>EV-05</t>
        </is>
      </c>
      <c r="C10" s="32" t="inlineStr">
        <is>
          <t>サポート体制・導入支援</t>
        </is>
      </c>
      <c r="D10" s="33" t="inlineStr">
        <is>
          <t>日本語CSMの専任性、24/365重大障害対応、導入PMO・トレーニング・チェンジマネジメント支援の充実度。</t>
        </is>
      </c>
      <c r="E10" s="34" t="n">
        <v>10</v>
      </c>
      <c r="F10" s="35" t="n">
        <v>0.15</v>
      </c>
    </row>
    <row r="11" ht="30" customHeight="1" s="47">
      <c r="B11" s="31" t="inlineStr">
        <is>
          <t>EV-06</t>
        </is>
      </c>
      <c r="C11" s="32" t="inlineStr">
        <is>
          <t>実績・参考事例</t>
        </is>
      </c>
      <c r="D11" s="33" t="inlineStr">
        <is>
          <t>製造業・グローバル多拠点・25,000名規模の同等導入事例。リファレンス顧客面談協力可否。</t>
        </is>
      </c>
      <c r="E11" s="34" t="n">
        <v>10</v>
      </c>
      <c r="F11" s="35" t="n">
        <v>0.1</v>
      </c>
    </row>
    <row r="12" ht="21" customHeight="1" s="47">
      <c r="B12" s="36" t="inlineStr">
        <is>
          <t>合計</t>
        </is>
      </c>
      <c r="C12" s="66" t="n"/>
      <c r="D12" s="67" t="n"/>
      <c r="E12" s="36" t="inlineStr">
        <is>
          <t>60(満点)</t>
        </is>
      </c>
      <c r="F12" s="37">
        <f>SUM(F6:F11)</f>
        <v/>
      </c>
    </row>
    <row r="14" ht="16.5" customHeight="1" s="47">
      <c r="B14" s="38" t="inlineStr">
        <is>
          <t>選考プロセス</t>
        </is>
      </c>
    </row>
    <row r="15" ht="18" customHeight="1" s="47">
      <c r="B15" s="39" t="inlineStr">
        <is>
          <t>フェーズ</t>
        </is>
      </c>
      <c r="C15" s="40" t="inlineStr">
        <is>
          <t>内容・期日</t>
        </is>
      </c>
      <c r="D15" s="64" t="n"/>
      <c r="E15" s="64" t="n"/>
      <c r="F15" s="65" t="n"/>
    </row>
    <row r="16" ht="18" customHeight="1" s="47">
      <c r="B16" s="42" t="inlineStr">
        <is>
          <t>Phase 1</t>
        </is>
      </c>
      <c r="C16" s="43" t="inlineStr">
        <is>
          <t>書面評価(本RFP回答書面・参考資料)　〜2026年7月14日</t>
        </is>
      </c>
      <c r="D16" s="64" t="n"/>
      <c r="E16" s="64" t="n"/>
      <c r="F16" s="65" t="n"/>
    </row>
    <row r="17" ht="18" customHeight="1" s="47">
      <c r="B17" s="42" t="inlineStr">
        <is>
          <t>Phase 2</t>
        </is>
      </c>
      <c r="C17" s="43" t="inlineStr">
        <is>
          <t>ショートリスト3社による製品デモ・ハンズオン評価　2026年7月22日〜31日</t>
        </is>
      </c>
      <c r="D17" s="64" t="n"/>
      <c r="E17" s="64" t="n"/>
      <c r="F17" s="65" t="n"/>
    </row>
    <row r="18" ht="18" customHeight="1" s="47">
      <c r="B18" s="42" t="inlineStr">
        <is>
          <t>Phase 3</t>
        </is>
      </c>
      <c r="C18" s="43" t="inlineStr">
        <is>
          <t>リファレンスチェック・PoC実施(2社選定)　2026年8月3日〜28日</t>
        </is>
      </c>
      <c r="D18" s="64" t="n"/>
      <c r="E18" s="64" t="n"/>
      <c r="F18" s="65" t="n"/>
    </row>
    <row r="19" ht="18" customHeight="1" s="47">
      <c r="B19" s="42" t="inlineStr">
        <is>
          <t>Phase 4</t>
        </is>
      </c>
      <c r="C19" s="43" t="inlineStr">
        <is>
          <t>最終提案・価格交渉・契約　2026年9月30日締結予定</t>
        </is>
      </c>
      <c r="D19" s="64" t="n"/>
      <c r="E19" s="64" t="n"/>
      <c r="F19" s="65" t="n"/>
    </row>
  </sheetData>
  <mergeCells count="9">
    <mergeCell ref="C18:F18"/>
    <mergeCell ref="C17:F17"/>
    <mergeCell ref="A1:F1"/>
    <mergeCell ref="B3:F3"/>
    <mergeCell ref="C16:F16"/>
    <mergeCell ref="C15:F15"/>
    <mergeCell ref="B14:F14"/>
    <mergeCell ref="B12:D12"/>
    <mergeCell ref="C19:F19"/>
  </mergeCells>
  <pageMargins left="0.7" right="0.7" top="0.75" bottom="0.75" header="0.3" footer="0.3"/>
  <pageSetup orientation="portrait" paperSize="1"/>
  <headerFooter>
    <oddHeader>&amp;L&amp;C&amp;R</oddHeader>
    <oddFooter>&amp;L&amp;C&amp;R</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E37"/>
  <sheetViews>
    <sheetView topLeftCell="A1" workbookViewId="0">
      <selection activeCell="A1" sqref="A1:D1"/>
    </sheetView>
  </sheetViews>
  <sheetFormatPr baseColWidth="8" defaultColWidth="8.8515625" defaultRowHeight="15" customHeight="1"/>
  <cols>
    <col width="2.28125" customWidth="1" style="47" min="1" max="1"/>
    <col width="11.421875" customWidth="1" style="47" min="2" max="2"/>
    <col width="27.421875" customWidth="1" style="47" min="3" max="3"/>
    <col width="80.00390625" customWidth="1" style="47" min="4" max="4"/>
    <col width="65" customWidth="1" style="47" min="5" max="5"/>
  </cols>
  <sheetData>
    <row r="1" ht="21" customHeight="1" s="47">
      <c r="A1" s="17" t="inlineStr">
        <is>
          <t>第8章 提案依頼事項（Staffbaseへの質問票）</t>
        </is>
      </c>
    </row>
    <row r="2"/>
    <row r="3" ht="33" customHeight="1" s="47">
      <c r="B3" s="29" t="inlineStr">
        <is>
          <t>本章は提案者(Staffbase社)に対する具体的な質問項目とする。各質問IDに対し、回答書(別紙)にて明確かつ定量的に回答すること。回答可否が不明確な場合は『要相談』とした上で前提条件を明示すること。</t>
        </is>
      </c>
      <c r="C3" s="64" t="n"/>
      <c r="D3" s="65" t="n"/>
    </row>
    <row r="4"/>
    <row r="5" ht="18" customHeight="1" s="47">
      <c r="B5" s="30" t="inlineStr">
        <is>
          <t>質問ID</t>
        </is>
      </c>
      <c r="C5" s="30" t="inlineStr">
        <is>
          <t>質問カテゴリ</t>
        </is>
      </c>
      <c r="D5" s="30" t="inlineStr">
        <is>
          <t>質問内容</t>
        </is>
      </c>
      <c r="E5" s="60" t="inlineStr">
        <is>
          <t>Staffbase回答</t>
        </is>
      </c>
    </row>
    <row r="6" ht="16.5" customHeight="1" s="47">
      <c r="B6" s="45" t="inlineStr">
        <is>
          <t>8.1 導入期間・プロジェクト体制</t>
        </is>
      </c>
    </row>
    <row r="7" ht="80" customHeight="1" s="47">
      <c r="B7" s="31" t="inlineStr">
        <is>
          <t>Q-IM-01</t>
        </is>
      </c>
      <c r="C7" s="32" t="inlineStr">
        <is>
          <t>導入期間</t>
        </is>
      </c>
      <c r="D7" s="33" t="inlineStr">
        <is>
          <t>本RFP要件(25,000名/40拠点/3言語)を満たす標準導入期間を、フェーズ別ガントチャートで提示すること。パイロット→全社→海外展開の標準スケジュールを示すこと。</t>
        </is>
      </c>
      <c r="E7" s="61" t="inlineStr">
        <is>
          <t>Staffbaseの標準導入期間は、25,000名/40拠点/3言語規模では概ね6〜12ヶ月を想定します。フェーズ別スケジュール：パイロット（〜3ヶ月）→全社展開（〜6ヶ月）→海外展開（〜12ヶ月）。フェーズ別ガントチャートは提案書にて詳細提示いたします。
参照：ops_kb.md</t>
        </is>
      </c>
    </row>
    <row r="8" ht="80" customHeight="1" s="47">
      <c r="B8" s="31" t="inlineStr">
        <is>
          <t>Q-IM-02</t>
        </is>
      </c>
      <c r="C8" s="32" t="inlineStr">
        <is>
          <t>プロジェクト体制</t>
        </is>
      </c>
      <c r="D8" s="33" t="inlineStr">
        <is>
          <t>Staffbase側プロジェクトチーム構成(PM/ソリューションアーキテクト/CSM/技術コンサル)、各役割の関与工数を提示すること。</t>
        </is>
      </c>
      <c r="E8" s="61" t="inlineStr">
        <is>
          <t>Staffbase側プロジェクトチームは、プロジェクトマネージャー（PM）、ソリューションアーキテクト（SA）、カスタマーサクセスマネージャー（CSM）、技術コンサルタントで構成されます。各役割の関与工数は提案書にて詳細提示いたします。
参照：ops_kb.md</t>
        </is>
      </c>
    </row>
    <row r="9" ht="80" customHeight="1" s="47">
      <c r="B9" s="31" t="inlineStr">
        <is>
          <t>Q-IM-03</t>
        </is>
      </c>
      <c r="C9" s="32" t="inlineStr">
        <is>
          <t>クリティカルパス</t>
        </is>
      </c>
      <c r="D9" s="33" t="inlineStr">
        <is>
          <t>標準導入における主要マイルストーンと、遅延リスクの高い工程・対策を明示すること。</t>
        </is>
      </c>
      <c r="E9" s="61" t="inlineStr">
        <is>
          <t>標準導入における主要マイルストーンと遅延リスクの高い工程（SSO/SCIM設定、HR統合、コンテンツ移行、ブランデッドアプリ申請等）については、提案書にて詳細提示いたします。
参照：ops_kb.md</t>
        </is>
      </c>
    </row>
    <row r="10" ht="16.5" customHeight="1" s="47">
      <c r="B10" s="45" t="inlineStr">
        <is>
          <t>8.2 移行方法・既存資産の引継ぎ</t>
        </is>
      </c>
    </row>
    <row r="11" ht="80" customHeight="1" s="47">
      <c r="B11" s="31" t="inlineStr">
        <is>
          <t>Q-MG-01</t>
        </is>
      </c>
      <c r="C11" s="32" t="inlineStr">
        <is>
          <t>コンテンツ移行</t>
        </is>
      </c>
      <c r="D11" s="33" t="inlineStr">
        <is>
          <t>既存SharePoint/独自ポータル/紙運用からのコンテンツ移行方法、Staffbase標準の移行ツール・サービス有無を提示すること。</t>
        </is>
      </c>
      <c r="E11" s="61" t="inlineStr">
        <is>
          <t>既存SharePoint/独自ポータルからのコンテンツ移行については、移行支援サービスを提供しています。標準の移行ツール・サービスの詳細は提案書にて提示いたします。紙運用からの移行については、コンテンツ再作成支援が中心となります。
参照：ops_kb.md</t>
        </is>
      </c>
    </row>
    <row r="12" ht="80" customHeight="1" s="47">
      <c r="B12" s="31" t="inlineStr">
        <is>
          <t>Q-MG-02</t>
        </is>
      </c>
      <c r="C12" s="32" t="inlineStr">
        <is>
          <t>ユーザー移行</t>
        </is>
      </c>
      <c r="D12" s="33" t="inlineStr">
        <is>
          <t>Entra ID/Workdayからのユーザー初期投入方法、過去アカウント・履歴データ取込みの可否と制約を明示すること。</t>
        </is>
      </c>
      <c r="E12" s="63" t="inlineStr">
        <is>
          <t>Entra ID/WorkdayからのユーザーはSCIM 2.0またはCSVインポートにより初期投入が可能です。過去アカウント・履歴データの取込みについては制約がある場合があり、詳細は要相談です。
参照：https://support.staffbase.com/hc/ja/articles/4402308118546, limitations_kb.md</t>
        </is>
      </c>
    </row>
    <row r="13" ht="80" customHeight="1" s="47">
      <c r="B13" s="31" t="inlineStr">
        <is>
          <t>Q-MG-03</t>
        </is>
      </c>
      <c r="C13" s="32" t="inlineStr">
        <is>
          <t>並行稼働</t>
        </is>
      </c>
      <c r="D13" s="33" t="inlineStr">
        <is>
          <t>既存ポータルとの並行稼働期間中の運用支援(URLリダイレクト/ハイブリッド検索等)の提供可否。</t>
        </is>
      </c>
      <c r="E13" s="63" t="inlineStr">
        <is>
          <t>既存ポータルとの並行稼働期間中の運用支援については、URLリダイレクト等の対応可否を含め、提案書にて詳細提示いたします。ハイブリッド検索については要確認（公式資料未記載）です。
参照：ops_kb.md</t>
        </is>
      </c>
    </row>
    <row r="14" ht="16.5" customHeight="1" s="47">
      <c r="B14" s="45" t="inlineStr">
        <is>
          <t>8.3 カスタマイズ範囲・拡張性</t>
        </is>
      </c>
    </row>
    <row r="15" ht="80" customHeight="1" s="47">
      <c r="B15" s="31" t="inlineStr">
        <is>
          <t>Q-CU-01</t>
        </is>
      </c>
      <c r="C15" s="32" t="inlineStr">
        <is>
          <t>標準/カスタム境界</t>
        </is>
      </c>
      <c r="D15" s="33" t="inlineStr">
        <is>
          <t>本RFPの全要件について、(a)標準機能 (b)管理画面設定 (c)アドオン (d)カスタム開発 のいずれで対応するか、要件IDマトリクスで回答すること。</t>
        </is>
      </c>
      <c r="E15" s="61" t="inlineStr">
        <is>
          <t>本RFPの全要件について、(a)標準機能 (b)管理画面設定 (c)アドオン (d)カスタム開発 の区分を要件IDマトリクスとして提案書（別紙）にて回答いたします。本回答書の各シートの「区分」列も参照ください。
参照：limitations_kb.md</t>
        </is>
      </c>
    </row>
    <row r="16" ht="80" customHeight="1" s="47">
      <c r="B16" s="31" t="inlineStr">
        <is>
          <t>Q-CU-02</t>
        </is>
      </c>
      <c r="C16" s="32" t="inlineStr">
        <is>
          <t>カスタム開発体制</t>
        </is>
      </c>
      <c r="D16" s="33" t="inlineStr">
        <is>
          <t>カスタム開発が必要な要件について、Staffbase側開発の可否、第三者パートナー利用要否、追加費用見積を提示すること。</t>
        </is>
      </c>
      <c r="E16" s="61" t="inlineStr">
        <is>
          <t>カスタム開発が必要な要件については、Staffbase側での対応可否、第三者パートナー利用要否、追加費用見積を提案書にて提示いたします。
参照：limitations_kb.md</t>
        </is>
      </c>
    </row>
    <row r="17" ht="80" customHeight="1" s="47">
      <c r="B17" s="31" t="inlineStr">
        <is>
          <t>Q-CU-03</t>
        </is>
      </c>
      <c r="C17" s="32" t="inlineStr">
        <is>
          <t>API・SDK</t>
        </is>
      </c>
      <c r="D17" s="33" t="inlineStr">
        <is>
          <t>公開API/SDK/Webhookの一覧、レート制限、認証方式、サンプルコード提供有無を明示すること。</t>
        </is>
      </c>
      <c r="E17" s="63" t="inlineStr">
        <is>
          <t>StaffbaseはREST APIを公開しており、認証方式はAPIトークン/OAuth 2.0を採用しています。API一覧・レート制限・サンプルコードはDeveloper Portal（https://developer.staffbase.com）にて提供しています。GraphQL APIについては要確認（公式資料未記載）です。
参照：https://support.staffbase.com/hc/ja/articles/25487807954322</t>
        </is>
      </c>
    </row>
    <row r="18" ht="80" customHeight="1" s="47">
      <c r="B18" s="31" t="inlineStr">
        <is>
          <t>Q-CU-04</t>
        </is>
      </c>
      <c r="C18" s="32" t="inlineStr">
        <is>
          <t>プラグインエコシステム</t>
        </is>
      </c>
      <c r="D18" s="33" t="inlineStr">
        <is>
          <t>Staffbase Marketplaceまたはパートナーアドオンの提供状況、当社利用可能なものを示すこと。</t>
        </is>
      </c>
      <c r="E18" s="61" t="inlineStr">
        <is>
          <t>Staffbase Marketplaceおよびパートナーアドオンの提供状況については、提案書にて詳細提示いたします。
参照：https://support.staffbase.com/hc/ja/articles/25487514075794</t>
        </is>
      </c>
    </row>
    <row r="19" ht="16.5" customHeight="1" s="47">
      <c r="B19" s="45" t="inlineStr">
        <is>
          <t>8.4 参考導入事例・リファレンス</t>
        </is>
      </c>
    </row>
    <row r="20" ht="80" customHeight="1" s="47">
      <c r="B20" s="31" t="inlineStr">
        <is>
          <t>Q-RF-01</t>
        </is>
      </c>
      <c r="C20" s="32" t="inlineStr">
        <is>
          <t>業種別事例</t>
        </is>
      </c>
      <c r="D20" s="33" t="inlineStr">
        <is>
          <t>製造業における導入事例を最低3件提示すること(企業規模・拠点数・利用言語・主要KPIを含む)。</t>
        </is>
      </c>
      <c r="E20" s="63" t="inlineStr">
        <is>
          <t>製造業における導入事例については、提案書にて最低3件（企業規模・拠点数・利用言語・主要KPI含む）を提示いたします。
参照：要確認（公式資料未記載）</t>
        </is>
      </c>
    </row>
    <row r="21" ht="80" customHeight="1" s="47">
      <c r="B21" s="31" t="inlineStr">
        <is>
          <t>Q-RF-02</t>
        </is>
      </c>
      <c r="C21" s="32" t="inlineStr">
        <is>
          <t>規模別事例</t>
        </is>
      </c>
      <c r="D21" s="33" t="inlineStr">
        <is>
          <t>従業員20,000名以上規模の導入事例を最低2件提示すること。導入期間とROIを含むこと。</t>
        </is>
      </c>
      <c r="E21" s="63" t="inlineStr">
        <is>
          <t>従業員20,000名以上規模の導入事例については、提案書にて最低2件（導入期間・ROI含む）を提示いたします。
参照：要確認（公式資料未記載）</t>
        </is>
      </c>
    </row>
    <row r="22" ht="80" customHeight="1" s="47">
      <c r="B22" s="31" t="inlineStr">
        <is>
          <t>Q-RF-03</t>
        </is>
      </c>
      <c r="C22" s="32" t="inlineStr">
        <is>
          <t>日本企業事例</t>
        </is>
      </c>
      <c r="D22" s="33" t="inlineStr">
        <is>
          <t>日本国内法人での導入事例の有無、日本語サポート品質に関する顧客評価を共有すること。</t>
        </is>
      </c>
      <c r="E22" s="63" t="inlineStr">
        <is>
          <t>日本国内法人での導入事例の有無および日本語サポート品質については、提案書にて共有いたします。
参照：要確認（公式資料未記載）</t>
        </is>
      </c>
    </row>
    <row r="23" ht="80" customHeight="1" s="47">
      <c r="B23" s="31" t="inlineStr">
        <is>
          <t>Q-RF-04</t>
        </is>
      </c>
      <c r="C23" s="32" t="inlineStr">
        <is>
          <t>リファレンス面談</t>
        </is>
      </c>
      <c r="D23" s="33" t="inlineStr">
        <is>
          <t>最終選考フェーズにおいて、既存顧客とのリファレンス面談を最低2社設定可能であること。</t>
        </is>
      </c>
      <c r="E23" s="61" t="inlineStr">
        <is>
          <t>最終選考フェーズにおける既存顧客とのリファレンス面談については、最低2社の設定に対応いたします。
参照：ops_kb.md</t>
        </is>
      </c>
    </row>
    <row r="24" ht="16.5" customHeight="1" s="47">
      <c r="B24" s="45" t="inlineStr">
        <is>
          <t>8.5 価格モデル・契約条件</t>
        </is>
      </c>
    </row>
    <row r="25" ht="80" customHeight="1" s="47">
      <c r="B25" s="31" t="inlineStr">
        <is>
          <t>Q-PR-01</t>
        </is>
      </c>
      <c r="C25" s="32" t="inlineStr">
        <is>
          <t>価格体系</t>
        </is>
      </c>
      <c r="D25" s="33" t="inlineStr">
        <is>
          <t>ライセンス課金方式(従業員数/MAU/モジュール別)を明示し、25,000名規模の標準見積を提示すること。</t>
        </is>
      </c>
      <c r="E25" s="63" t="inlineStr">
        <is>
          <t>ライセンス課金方式（従業員数ベース）および25,000名規模の標準見積については、提案書（別紙価格表）にて提示いたします。
参照：要確認（公式資料未記載）</t>
        </is>
      </c>
    </row>
    <row r="26" ht="80" customHeight="1" s="47">
      <c r="B26" s="31" t="inlineStr">
        <is>
          <t>Q-PR-02</t>
        </is>
      </c>
      <c r="C26" s="32" t="inlineStr">
        <is>
          <t>初期費用</t>
        </is>
      </c>
      <c r="D26" s="33" t="inlineStr">
        <is>
          <t>初期導入費(セットアップ/移行/トレーニング/ブランデッドアプリ申請)の内訳を提示すること。</t>
        </is>
      </c>
      <c r="E26" s="63" t="inlineStr">
        <is>
          <t>初期導入費（セットアップ/移行/トレーニング/ブランデッドアプリ申請）の内訳については、提案書（別紙価格表）にて提示いたします。
参照：要確認（公式資料未記載）</t>
        </is>
      </c>
    </row>
    <row r="27" ht="80" customHeight="1" s="47">
      <c r="B27" s="31" t="inlineStr">
        <is>
          <t>Q-PR-03</t>
        </is>
      </c>
      <c r="C27" s="32" t="inlineStr">
        <is>
          <t>5年TCO</t>
        </is>
      </c>
      <c r="D27" s="33" t="inlineStr">
        <is>
          <t>5年契約を前提とした総所有コスト(TCO)試算を提示すること。年次値上げ条件も明示。</t>
        </is>
      </c>
      <c r="E27" s="63" t="inlineStr">
        <is>
          <t>5年契約を前提としたTCO試算および年次値上げ条件については、提案書（別紙価格表）にて提示いたします。
参照：要確認（公式資料未記載）</t>
        </is>
      </c>
    </row>
    <row r="28" ht="80" customHeight="1" s="47">
      <c r="B28" s="31" t="inlineStr">
        <is>
          <t>Q-PR-04</t>
        </is>
      </c>
      <c r="C28" s="32" t="inlineStr">
        <is>
          <t>従量課金</t>
        </is>
      </c>
      <c r="D28" s="33" t="inlineStr">
        <is>
          <t>ストレージ超過、追加言語、API流量超過時の従量課金単価を明示すること。</t>
        </is>
      </c>
      <c r="E28" s="63" t="inlineStr">
        <is>
          <t>ストレージ超過・追加言語・API流量超過時の従量課金単価については、提案書（別紙価格表）にて提示いたします。
参照：要確認（公式資料未記載）</t>
        </is>
      </c>
    </row>
    <row r="29" ht="80" customHeight="1" s="47">
      <c r="B29" s="31" t="inlineStr">
        <is>
          <t>Q-PR-05</t>
        </is>
      </c>
      <c r="C29" s="32" t="inlineStr">
        <is>
          <t>契約形態</t>
        </is>
      </c>
      <c r="D29" s="33" t="inlineStr">
        <is>
          <t>契約主体(Staffbase本社/日本法人/代理店)、契約言語、準拠法、紛争解決地を明示すること。</t>
        </is>
      </c>
      <c r="E29" s="61" t="inlineStr">
        <is>
          <t>契約主体・契約言語・準拠法・紛争解決地については、提案書（別紙）にて明示いたします。
参照：compliance_kb.md</t>
        </is>
      </c>
    </row>
    <row r="30" ht="80" customHeight="1" s="47">
      <c r="B30" s="31" t="inlineStr">
        <is>
          <t>Q-PR-06</t>
        </is>
      </c>
      <c r="C30" s="32" t="inlineStr">
        <is>
          <t>ボリューム/将来拡大</t>
        </is>
      </c>
      <c r="D30" s="33" t="inlineStr">
        <is>
          <t>従業員数増加時(M&amp;A・グループ展開)の単価逓減条件、将来モジュール追加時の優遇条件を提示すること。</t>
        </is>
      </c>
      <c r="E30" s="63" t="inlineStr">
        <is>
          <t>従業員数増加時（M&amp;A・グループ展開）の単価逓減条件および将来モジュール追加時の優遇条件については、提案書（別紙価格表）にて提示いたします。
参照：要確認（公式資料未記載）</t>
        </is>
      </c>
    </row>
    <row r="31" ht="16.5" customHeight="1" s="47">
      <c r="B31" s="45" t="inlineStr">
        <is>
          <t>8.6 その他</t>
        </is>
      </c>
    </row>
    <row r="32" ht="80" customHeight="1" s="47">
      <c r="B32" s="31" t="inlineStr">
        <is>
          <t>Q-OT-01</t>
        </is>
      </c>
      <c r="C32" s="32" t="inlineStr">
        <is>
          <t>ロードマップ</t>
        </is>
      </c>
      <c r="D32" s="33" t="inlineStr">
        <is>
          <t>今後12〜24カ月の製品ロードマップ(AI機能・モバイル強化・アクセシビリティ等)を共有可能であること。</t>
        </is>
      </c>
      <c r="E32" s="63" t="inlineStr">
        <is>
          <t>今後12〜24ヶ月の製品ロードマップ（AI機能・モバイル強化・アクセシビリティ等）については、NDA締結後に共有いたします。
参照：要確認（公式資料未記載）</t>
        </is>
      </c>
    </row>
    <row r="33" ht="80" customHeight="1" s="47">
      <c r="B33" s="31" t="inlineStr">
        <is>
          <t>Q-OT-02</t>
        </is>
      </c>
      <c r="C33" s="32" t="inlineStr">
        <is>
          <t>サステナビリティ</t>
        </is>
      </c>
      <c r="D33" s="33" t="inlineStr">
        <is>
          <t>Staffbase社のESG/サステナビリティ取組み、データセンターのCO2排出量に関する情報を提示すること。</t>
        </is>
      </c>
      <c r="E33" s="63" t="inlineStr">
        <is>
          <t>StaffbaseのESG/サステナビリティ取組みおよびデータセンターのCO2排出量については、提案書にて提示いたします。
参照：要確認（公式資料未記載）</t>
        </is>
      </c>
    </row>
    <row r="34" ht="80" customHeight="1" s="47">
      <c r="B34" s="31" t="inlineStr">
        <is>
          <t>Q-OT-03</t>
        </is>
      </c>
      <c r="C34" s="32" t="inlineStr">
        <is>
          <t>事業継続性</t>
        </is>
      </c>
      <c r="D34" s="33" t="inlineStr">
        <is>
          <t>Staffbase社自身の事業継続計画(BCP)、財務健全性に関する情報を提示すること。</t>
        </is>
      </c>
      <c r="E34" s="61" t="inlineStr">
        <is>
          <t>Staffbase社の事業継続計画（BCP）および財務健全性については、提案書にて提示いたします。
参照：ops_kb.md</t>
        </is>
      </c>
    </row>
    <row r="35"/>
    <row r="36" ht="16.5" customHeight="1" s="47">
      <c r="B36" s="45" t="inlineStr">
        <is>
          <t>提案書の構成・提出方法</t>
        </is>
      </c>
    </row>
    <row r="37" ht="75" customHeight="1" s="47">
      <c r="B37" s="46" t="inlineStr">
        <is>
          <t>1. 提案書はExecutive Summary(5頁以内)、本提案書(50頁以内)、別紙(要件回答マトリクス、価格表、事例集、SOC2/ISO27001証憑、SLA文書)で構成すること。
2. 提出物はPDFおよび編集可能形式(Word/Excel)で提出すること。提出先：icp-rfp@example-jgm.co.jp
3. 質問は2026年5月23日17:00 JSTまでに書面で受付。回答は5月30日までに全提案者へ一斉開示する。
4. 本RFPに対する提案費用は提案者負担とし、当社は一切の補償義務を負わない。
5. 当社は最良の提案を選定する権利を留保するとともに、本RFPを取り下げる権利を有する。</t>
        </is>
      </c>
      <c r="C37" s="64" t="n"/>
      <c r="D37" s="65" t="n"/>
    </row>
  </sheetData>
  <mergeCells count="10">
    <mergeCell ref="B10:D10"/>
    <mergeCell ref="A1:D1"/>
    <mergeCell ref="B3:D3"/>
    <mergeCell ref="B19:D19"/>
    <mergeCell ref="B14:D14"/>
    <mergeCell ref="B36:D36"/>
    <mergeCell ref="B37:D37"/>
    <mergeCell ref="B31:D31"/>
    <mergeCell ref="B6:D6"/>
    <mergeCell ref="B24:D24"/>
  </mergeCells>
  <pageMargins left="0.7" right="0.7" top="0.75" bottom="0.75" header="0.3" footer="0.3"/>
  <pageSetup orientation="portrait" paperSize="1"/>
  <headerFooter>
    <oddHeader>&amp;L&amp;C&amp;R</oddHeader>
    <oddFooter>&amp;L&amp;C&amp;R</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2026-04-27T07:27:46Z</dcterms:created>
  <dcterms:modified xmlns:dcterms="http://purl.org/dc/terms/" xmlns:xsi="http://www.w3.org/2001/XMLSchema-instance" xsi:type="dcterms:W3CDTF">2026-04-27T09:13:49Z</dcterms:modified>
</cp:coreProperties>
</file>